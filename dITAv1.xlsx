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nerj/Documents/Education Studies/RESEARCH/ITA/SHEET/"/>
    </mc:Choice>
  </mc:AlternateContent>
  <xr:revisionPtr revIDLastSave="0" documentId="13_ncr:1_{B0932DBF-DD7F-0047-AC85-9041DD76F61E}" xr6:coauthVersionLast="47" xr6:coauthVersionMax="47" xr10:uidLastSave="{00000000-0000-0000-0000-000000000000}"/>
  <bookViews>
    <workbookView xWindow="960" yWindow="600" windowWidth="37440" windowHeight="21000" activeTab="1" xr2:uid="{00000000-000D-0000-FFFF-FFFF00000000}"/>
  </bookViews>
  <sheets>
    <sheet name="READ ME" sheetId="5" r:id="rId1"/>
    <sheet name="WORKED EXAMPLE" sheetId="4" r:id="rId2"/>
    <sheet name="YOUR DATA" sheetId="7" r:id="rId3"/>
  </sheets>
  <definedNames>
    <definedName name="answer_range" localSheetId="2">'YOUR DATA'!#REF!</definedName>
    <definedName name="answer_range">'WORKED EXAMPLE'!#REF!</definedName>
    <definedName name="_xlnm.Print_Area" localSheetId="1">'WORKED EXAMPLE'!#REF!</definedName>
    <definedName name="_xlnm.Print_Area" localSheetId="2">'YOUR DATA'!#REF!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I3" i="4" l="1"/>
  <c r="BJ3" i="4"/>
  <c r="BN3" i="4" s="1"/>
  <c r="BK4" i="7"/>
  <c r="BK5" i="7"/>
  <c r="BK6" i="7"/>
  <c r="BK7" i="7"/>
  <c r="BK8" i="7"/>
  <c r="BK9" i="7"/>
  <c r="BK10" i="7"/>
  <c r="BK11" i="7"/>
  <c r="BK12" i="7"/>
  <c r="BK4" i="4"/>
  <c r="BK5" i="4"/>
  <c r="BK6" i="4"/>
  <c r="BK7" i="4"/>
  <c r="BK8" i="4"/>
  <c r="BK9" i="4"/>
  <c r="BK10" i="4"/>
  <c r="BK11" i="4"/>
  <c r="BK12" i="4"/>
  <c r="N5" i="7"/>
  <c r="O5" i="7"/>
  <c r="AH5" i="7" s="1"/>
  <c r="P5" i="7"/>
  <c r="AA5" i="7" s="1"/>
  <c r="Q5" i="7"/>
  <c r="R5" i="7"/>
  <c r="AF5" i="7" s="1"/>
  <c r="S5" i="7"/>
  <c r="T5" i="7"/>
  <c r="U5" i="7"/>
  <c r="V5" i="7"/>
  <c r="M5" i="7"/>
  <c r="Z9" i="7"/>
  <c r="Z10" i="7"/>
  <c r="Z11" i="7"/>
  <c r="Z12" i="7"/>
  <c r="Z13" i="7"/>
  <c r="Z14" i="7"/>
  <c r="Z15" i="7"/>
  <c r="Z16" i="7"/>
  <c r="Z17" i="7"/>
  <c r="Z18" i="7"/>
  <c r="AK12" i="7"/>
  <c r="AJ12" i="7"/>
  <c r="AS12" i="7" s="1"/>
  <c r="BB12" i="7" s="1"/>
  <c r="AI12" i="7"/>
  <c r="AH12" i="7"/>
  <c r="AG12" i="7"/>
  <c r="AF12" i="7"/>
  <c r="AE12" i="7"/>
  <c r="AD12" i="7"/>
  <c r="AM12" i="7" s="1"/>
  <c r="AV12" i="7" s="1"/>
  <c r="AC12" i="7"/>
  <c r="AA12" i="7"/>
  <c r="AB12" i="7" s="1"/>
  <c r="AK11" i="7"/>
  <c r="AJ11" i="7"/>
  <c r="AI11" i="7"/>
  <c r="AH11" i="7"/>
  <c r="AQ11" i="7" s="1"/>
  <c r="AZ11" i="7" s="1"/>
  <c r="AG11" i="7"/>
  <c r="AF11" i="7"/>
  <c r="AE11" i="7"/>
  <c r="AD11" i="7"/>
  <c r="AC11" i="7"/>
  <c r="AA11" i="7"/>
  <c r="BI11" i="7" s="1"/>
  <c r="BJ11" i="7" s="1"/>
  <c r="AK10" i="7"/>
  <c r="AJ10" i="7"/>
  <c r="AI10" i="7"/>
  <c r="AH10" i="7"/>
  <c r="AG10" i="7"/>
  <c r="AF10" i="7"/>
  <c r="AO10" i="7" s="1"/>
  <c r="AX10" i="7" s="1"/>
  <c r="AE10" i="7"/>
  <c r="AD10" i="7"/>
  <c r="AC10" i="7"/>
  <c r="AA10" i="7"/>
  <c r="AB10" i="7" s="1"/>
  <c r="AK9" i="7"/>
  <c r="AJ9" i="7"/>
  <c r="AI9" i="7"/>
  <c r="AH9" i="7"/>
  <c r="AG9" i="7"/>
  <c r="AF9" i="7"/>
  <c r="AE9" i="7"/>
  <c r="AD9" i="7"/>
  <c r="AP9" i="7" s="1"/>
  <c r="AY9" i="7" s="1"/>
  <c r="AC9" i="7"/>
  <c r="AA9" i="7"/>
  <c r="AK8" i="7"/>
  <c r="AJ8" i="7"/>
  <c r="AI8" i="7"/>
  <c r="AH8" i="7"/>
  <c r="AG8" i="7"/>
  <c r="AF8" i="7"/>
  <c r="AE8" i="7"/>
  <c r="AD8" i="7"/>
  <c r="AC8" i="7"/>
  <c r="AA8" i="7"/>
  <c r="AB8" i="7" s="1"/>
  <c r="Z8" i="7"/>
  <c r="AK7" i="7"/>
  <c r="AJ7" i="7"/>
  <c r="AI7" i="7"/>
  <c r="AH7" i="7"/>
  <c r="AG7" i="7"/>
  <c r="AF7" i="7"/>
  <c r="AE7" i="7"/>
  <c r="AD7" i="7"/>
  <c r="AC7" i="7"/>
  <c r="AA7" i="7"/>
  <c r="Z7" i="7"/>
  <c r="AK6" i="7"/>
  <c r="AJ6" i="7"/>
  <c r="AI6" i="7"/>
  <c r="AH6" i="7"/>
  <c r="AG6" i="7"/>
  <c r="AF6" i="7"/>
  <c r="AE6" i="7"/>
  <c r="AD6" i="7"/>
  <c r="AC6" i="7"/>
  <c r="AA6" i="7"/>
  <c r="AB6" i="7" s="1"/>
  <c r="Z6" i="7"/>
  <c r="AJ5" i="7"/>
  <c r="AG5" i="7"/>
  <c r="AD5" i="7"/>
  <c r="Z5" i="7"/>
  <c r="AK4" i="7"/>
  <c r="AJ4" i="7"/>
  <c r="AI4" i="7"/>
  <c r="AH4" i="7"/>
  <c r="AG4" i="7"/>
  <c r="AF4" i="7"/>
  <c r="AE4" i="7"/>
  <c r="AD4" i="7"/>
  <c r="AQ4" i="7" s="1"/>
  <c r="AZ4" i="7" s="1"/>
  <c r="AC4" i="7"/>
  <c r="AA4" i="7"/>
  <c r="AB4" i="7" s="1"/>
  <c r="Z4" i="7"/>
  <c r="AK3" i="7"/>
  <c r="AJ3" i="7"/>
  <c r="AI3" i="7"/>
  <c r="AH3" i="7"/>
  <c r="AG3" i="7"/>
  <c r="AF3" i="7"/>
  <c r="AE3" i="7"/>
  <c r="AD3" i="7"/>
  <c r="AC3" i="7"/>
  <c r="AA3" i="7"/>
  <c r="Z3" i="7"/>
  <c r="BK3" i="4"/>
  <c r="BN4" i="4"/>
  <c r="BN5" i="4"/>
  <c r="BN6" i="4"/>
  <c r="BN7" i="4"/>
  <c r="BN8" i="4"/>
  <c r="BN9" i="4"/>
  <c r="BN10" i="4"/>
  <c r="BN11" i="4"/>
  <c r="BN12" i="4"/>
  <c r="L23" i="5"/>
  <c r="J23" i="5"/>
  <c r="I23" i="5"/>
  <c r="BG3" i="4"/>
  <c r="BE3" i="4"/>
  <c r="BD3" i="4"/>
  <c r="BI4" i="4"/>
  <c r="BJ4" i="4" s="1"/>
  <c r="BI5" i="4"/>
  <c r="BJ5" i="4" s="1"/>
  <c r="BI6" i="4"/>
  <c r="BJ6" i="4"/>
  <c r="BI7" i="4"/>
  <c r="BJ7" i="4" s="1"/>
  <c r="BI8" i="4"/>
  <c r="BJ8" i="4"/>
  <c r="BI9" i="4"/>
  <c r="BJ9" i="4"/>
  <c r="BI10" i="4"/>
  <c r="BJ10" i="4" s="1"/>
  <c r="BI11" i="4"/>
  <c r="BJ11" i="4"/>
  <c r="BI12" i="4"/>
  <c r="BJ12" i="4"/>
  <c r="AD5" i="4"/>
  <c r="Z4" i="4"/>
  <c r="Z5" i="4"/>
  <c r="Z6" i="4"/>
  <c r="Z7" i="4"/>
  <c r="Z8" i="4"/>
  <c r="Z9" i="4"/>
  <c r="Z10" i="4"/>
  <c r="Z11" i="4"/>
  <c r="Z12" i="4"/>
  <c r="Z3" i="4"/>
  <c r="AA3" i="4"/>
  <c r="AB3" i="4" s="1"/>
  <c r="AK5" i="7" l="1"/>
  <c r="AC5" i="7"/>
  <c r="AM5" i="7" s="1"/>
  <c r="AV5" i="7" s="1"/>
  <c r="AI5" i="7"/>
  <c r="AR5" i="7" s="1"/>
  <c r="BA5" i="7" s="1"/>
  <c r="AE5" i="7"/>
  <c r="AN5" i="7" s="1"/>
  <c r="AW5" i="7" s="1"/>
  <c r="AS3" i="7"/>
  <c r="BB3" i="7" s="1"/>
  <c r="AT3" i="7"/>
  <c r="BC3" i="7" s="1"/>
  <c r="AS9" i="7"/>
  <c r="BB9" i="7" s="1"/>
  <c r="AL8" i="7"/>
  <c r="AU8" i="7" s="1"/>
  <c r="AP10" i="7"/>
  <c r="AY10" i="7" s="1"/>
  <c r="AO3" i="7"/>
  <c r="AX3" i="7" s="1"/>
  <c r="AO9" i="7"/>
  <c r="AX9" i="7" s="1"/>
  <c r="AM11" i="7"/>
  <c r="AV11" i="7" s="1"/>
  <c r="AS11" i="7"/>
  <c r="BB11" i="7" s="1"/>
  <c r="AO12" i="7"/>
  <c r="AX12" i="7" s="1"/>
  <c r="AN4" i="7"/>
  <c r="AW4" i="7" s="1"/>
  <c r="AP6" i="7"/>
  <c r="AY6" i="7" s="1"/>
  <c r="AR8" i="7"/>
  <c r="BA8" i="7" s="1"/>
  <c r="AT12" i="7"/>
  <c r="BC12" i="7" s="1"/>
  <c r="AP3" i="7"/>
  <c r="AY3" i="7" s="1"/>
  <c r="AL6" i="7"/>
  <c r="AU6" i="7" s="1"/>
  <c r="AR6" i="7"/>
  <c r="BA6" i="7" s="1"/>
  <c r="AT7" i="7"/>
  <c r="BC7" i="7" s="1"/>
  <c r="AS7" i="7"/>
  <c r="BB7" i="7" s="1"/>
  <c r="AS8" i="7"/>
  <c r="BB8" i="7" s="1"/>
  <c r="AT8" i="7"/>
  <c r="BC8" i="7" s="1"/>
  <c r="AL10" i="7"/>
  <c r="AU10" i="7" s="1"/>
  <c r="BD10" i="7" s="1"/>
  <c r="AR10" i="7"/>
  <c r="BA10" i="7" s="1"/>
  <c r="AP12" i="7"/>
  <c r="AY12" i="7" s="1"/>
  <c r="AT4" i="7"/>
  <c r="BC4" i="7" s="1"/>
  <c r="AQ7" i="7"/>
  <c r="AZ7" i="7" s="1"/>
  <c r="AR11" i="7"/>
  <c r="BA11" i="7" s="1"/>
  <c r="BI3" i="7"/>
  <c r="BJ3" i="7" s="1"/>
  <c r="AQ3" i="7"/>
  <c r="AZ3" i="7" s="1"/>
  <c r="AM6" i="7"/>
  <c r="AV6" i="7" s="1"/>
  <c r="BI9" i="7"/>
  <c r="BJ9" i="7" s="1"/>
  <c r="AQ9" i="7"/>
  <c r="AZ9" i="7" s="1"/>
  <c r="AM10" i="7"/>
  <c r="AV10" i="7" s="1"/>
  <c r="AS10" i="7"/>
  <c r="BB10" i="7" s="1"/>
  <c r="AO11" i="7"/>
  <c r="AX11" i="7" s="1"/>
  <c r="AQ12" i="7"/>
  <c r="AZ12" i="7" s="1"/>
  <c r="AS4" i="7"/>
  <c r="BB4" i="7" s="1"/>
  <c r="BI7" i="7"/>
  <c r="BJ7" i="7" s="1"/>
  <c r="AN12" i="7"/>
  <c r="AW12" i="7" s="1"/>
  <c r="AL4" i="7"/>
  <c r="AU4" i="7" s="1"/>
  <c r="AR4" i="7"/>
  <c r="BA4" i="7" s="1"/>
  <c r="AN6" i="7"/>
  <c r="AW6" i="7" s="1"/>
  <c r="AT6" i="7"/>
  <c r="BC6" i="7" s="1"/>
  <c r="AO7" i="7"/>
  <c r="AX7" i="7" s="1"/>
  <c r="AP8" i="7"/>
  <c r="AY8" i="7" s="1"/>
  <c r="AR9" i="7"/>
  <c r="BA9" i="7" s="1"/>
  <c r="AN10" i="7"/>
  <c r="AW10" i="7" s="1"/>
  <c r="AT10" i="7"/>
  <c r="BC10" i="7" s="1"/>
  <c r="BE10" i="7" s="1"/>
  <c r="AP11" i="7"/>
  <c r="AY11" i="7" s="1"/>
  <c r="AL12" i="7"/>
  <c r="AU12" i="7" s="1"/>
  <c r="BD12" i="7" s="1"/>
  <c r="AR12" i="7"/>
  <c r="BA12" i="7" s="1"/>
  <c r="AB11" i="7"/>
  <c r="AB9" i="7"/>
  <c r="AB7" i="7"/>
  <c r="BE6" i="7"/>
  <c r="BE12" i="7"/>
  <c r="BE4" i="7"/>
  <c r="BE8" i="7"/>
  <c r="AM3" i="7"/>
  <c r="AV3" i="7" s="1"/>
  <c r="AM4" i="7"/>
  <c r="AV4" i="7" s="1"/>
  <c r="AP7" i="7"/>
  <c r="AY7" i="7" s="1"/>
  <c r="AN8" i="7"/>
  <c r="AW8" i="7" s="1"/>
  <c r="AL3" i="7"/>
  <c r="AU3" i="7" s="1"/>
  <c r="AR3" i="7"/>
  <c r="BA3" i="7" s="1"/>
  <c r="AO4" i="7"/>
  <c r="AX4" i="7" s="1"/>
  <c r="AO6" i="7"/>
  <c r="AX6" i="7" s="1"/>
  <c r="AL7" i="7"/>
  <c r="AU7" i="7" s="1"/>
  <c r="AR7" i="7"/>
  <c r="BA7" i="7" s="1"/>
  <c r="AO8" i="7"/>
  <c r="AX8" i="7" s="1"/>
  <c r="AL9" i="7"/>
  <c r="AU9" i="7" s="1"/>
  <c r="AL11" i="7"/>
  <c r="AU11" i="7" s="1"/>
  <c r="AP4" i="7"/>
  <c r="AY4" i="7" s="1"/>
  <c r="AM7" i="7"/>
  <c r="AV7" i="7" s="1"/>
  <c r="AM9" i="7"/>
  <c r="AV9" i="7" s="1"/>
  <c r="AN7" i="7"/>
  <c r="AW7" i="7" s="1"/>
  <c r="BI8" i="7"/>
  <c r="BJ8" i="7" s="1"/>
  <c r="AN9" i="7"/>
  <c r="AW9" i="7" s="1"/>
  <c r="AT9" i="7"/>
  <c r="BC9" i="7" s="1"/>
  <c r="AQ10" i="7"/>
  <c r="AZ10" i="7" s="1"/>
  <c r="BI10" i="7"/>
  <c r="BJ10" i="7" s="1"/>
  <c r="BI12" i="7"/>
  <c r="BJ12" i="7" s="1"/>
  <c r="AB3" i="7"/>
  <c r="AN3" i="7"/>
  <c r="AW3" i="7" s="1"/>
  <c r="BI4" i="7"/>
  <c r="BJ4" i="7" s="1"/>
  <c r="AB5" i="7"/>
  <c r="AQ6" i="7"/>
  <c r="AZ6" i="7" s="1"/>
  <c r="BI6" i="7"/>
  <c r="BJ6" i="7" s="1"/>
  <c r="AQ8" i="7"/>
  <c r="AZ8" i="7" s="1"/>
  <c r="AN11" i="7"/>
  <c r="AW11" i="7" s="1"/>
  <c r="AT11" i="7"/>
  <c r="BC11" i="7" s="1"/>
  <c r="AS6" i="7"/>
  <c r="BB6" i="7" s="1"/>
  <c r="AM8" i="7"/>
  <c r="AV8" i="7" s="1"/>
  <c r="AA4" i="4"/>
  <c r="AB4" i="4" s="1"/>
  <c r="AA5" i="4"/>
  <c r="AB5" i="4" s="1"/>
  <c r="AA6" i="4"/>
  <c r="AB6" i="4" s="1"/>
  <c r="AA7" i="4"/>
  <c r="AB7" i="4" s="1"/>
  <c r="AA8" i="4"/>
  <c r="AB8" i="4" s="1"/>
  <c r="AA9" i="4"/>
  <c r="AB9" i="4" s="1"/>
  <c r="AA10" i="4"/>
  <c r="AB10" i="4" s="1"/>
  <c r="AA11" i="4"/>
  <c r="AB11" i="4" s="1"/>
  <c r="AA12" i="4"/>
  <c r="AB12" i="4" s="1"/>
  <c r="AQ5" i="7" l="1"/>
  <c r="AZ5" i="7" s="1"/>
  <c r="AT5" i="7"/>
  <c r="BC5" i="7" s="1"/>
  <c r="BI5" i="7"/>
  <c r="BJ5" i="7" s="1"/>
  <c r="AO5" i="7"/>
  <c r="AX5" i="7" s="1"/>
  <c r="AP5" i="7"/>
  <c r="AY5" i="7" s="1"/>
  <c r="AL5" i="7"/>
  <c r="AU5" i="7" s="1"/>
  <c r="AS5" i="7"/>
  <c r="BB5" i="7" s="1"/>
  <c r="BD4" i="7"/>
  <c r="BD6" i="7"/>
  <c r="BF6" i="7" s="1"/>
  <c r="BG6" i="7" s="1"/>
  <c r="BH6" i="7" s="1"/>
  <c r="BD8" i="7"/>
  <c r="BF8" i="7" s="1"/>
  <c r="BG8" i="7" s="1"/>
  <c r="BH8" i="7" s="1"/>
  <c r="BF4" i="7"/>
  <c r="BG4" i="7" s="1"/>
  <c r="BH4" i="7" s="1"/>
  <c r="BE7" i="7"/>
  <c r="BD7" i="7"/>
  <c r="BE3" i="7"/>
  <c r="BD3" i="7"/>
  <c r="BF3" i="7" s="1"/>
  <c r="BG3" i="7" s="1"/>
  <c r="BH3" i="7" s="1"/>
  <c r="BE11" i="7"/>
  <c r="BD11" i="7"/>
  <c r="BE9" i="7"/>
  <c r="BD9" i="7"/>
  <c r="BE5" i="7"/>
  <c r="BD5" i="7"/>
  <c r="BF10" i="7"/>
  <c r="BG10" i="7" s="1"/>
  <c r="BH10" i="7" s="1"/>
  <c r="BF12" i="7"/>
  <c r="BG12" i="7" s="1"/>
  <c r="BH12" i="7" s="1"/>
  <c r="AC3" i="4"/>
  <c r="AD3" i="4"/>
  <c r="AE3" i="4"/>
  <c r="AF3" i="4"/>
  <c r="AG3" i="4"/>
  <c r="AH3" i="4"/>
  <c r="AI3" i="4"/>
  <c r="AJ3" i="4"/>
  <c r="AK3" i="4"/>
  <c r="AC4" i="4"/>
  <c r="AD4" i="4"/>
  <c r="AE4" i="4"/>
  <c r="AF4" i="4"/>
  <c r="AG4" i="4"/>
  <c r="AH4" i="4"/>
  <c r="AI4" i="4"/>
  <c r="AJ4" i="4"/>
  <c r="AK4" i="4"/>
  <c r="AC5" i="4"/>
  <c r="AE5" i="4"/>
  <c r="AF5" i="4"/>
  <c r="AG5" i="4"/>
  <c r="AH5" i="4"/>
  <c r="AI5" i="4"/>
  <c r="AJ5" i="4"/>
  <c r="AK5" i="4"/>
  <c r="AC6" i="4"/>
  <c r="AD6" i="4"/>
  <c r="AE6" i="4"/>
  <c r="AF6" i="4"/>
  <c r="AG6" i="4"/>
  <c r="AH6" i="4"/>
  <c r="AI6" i="4"/>
  <c r="AJ6" i="4"/>
  <c r="AK6" i="4"/>
  <c r="AC7" i="4"/>
  <c r="AD7" i="4"/>
  <c r="AE7" i="4"/>
  <c r="AF7" i="4"/>
  <c r="AG7" i="4"/>
  <c r="AH7" i="4"/>
  <c r="AI7" i="4"/>
  <c r="AJ7" i="4"/>
  <c r="AK7" i="4"/>
  <c r="AC8" i="4"/>
  <c r="AD8" i="4"/>
  <c r="AE8" i="4"/>
  <c r="AF8" i="4"/>
  <c r="AG8" i="4"/>
  <c r="AH8" i="4"/>
  <c r="AI8" i="4"/>
  <c r="AJ8" i="4"/>
  <c r="AK8" i="4"/>
  <c r="AC9" i="4"/>
  <c r="AD9" i="4"/>
  <c r="AE9" i="4"/>
  <c r="AF9" i="4"/>
  <c r="AG9" i="4"/>
  <c r="AH9" i="4"/>
  <c r="AI9" i="4"/>
  <c r="AJ9" i="4"/>
  <c r="AK9" i="4"/>
  <c r="AC10" i="4"/>
  <c r="AD10" i="4"/>
  <c r="AE10" i="4"/>
  <c r="AF10" i="4"/>
  <c r="AG10" i="4"/>
  <c r="AH10" i="4"/>
  <c r="AI10" i="4"/>
  <c r="AJ10" i="4"/>
  <c r="AK10" i="4"/>
  <c r="AC11" i="4"/>
  <c r="AD11" i="4"/>
  <c r="AE11" i="4"/>
  <c r="AF11" i="4"/>
  <c r="AG11" i="4"/>
  <c r="AH11" i="4"/>
  <c r="AI11" i="4"/>
  <c r="AJ11" i="4"/>
  <c r="AK11" i="4"/>
  <c r="AC12" i="4"/>
  <c r="AD12" i="4"/>
  <c r="AE12" i="4"/>
  <c r="AF12" i="4"/>
  <c r="AG12" i="4"/>
  <c r="AH12" i="4"/>
  <c r="AI12" i="4"/>
  <c r="AJ12" i="4"/>
  <c r="AK12" i="4"/>
  <c r="BK3" i="7" l="1"/>
  <c r="BF5" i="7"/>
  <c r="BG5" i="7" s="1"/>
  <c r="BH5" i="7" s="1"/>
  <c r="BF9" i="7"/>
  <c r="BG9" i="7" s="1"/>
  <c r="BH9" i="7" s="1"/>
  <c r="BF7" i="7"/>
  <c r="BG7" i="7" s="1"/>
  <c r="BH7" i="7" s="1"/>
  <c r="BF11" i="7"/>
  <c r="BG11" i="7" s="1"/>
  <c r="BH11" i="7" s="1"/>
  <c r="AT4" i="4"/>
  <c r="BC4" i="4" s="1"/>
  <c r="AP12" i="4"/>
  <c r="AY12" i="4" s="1"/>
  <c r="AQ7" i="4"/>
  <c r="AZ7" i="4" s="1"/>
  <c r="AR5" i="4"/>
  <c r="BA5" i="4" s="1"/>
  <c r="AS12" i="4"/>
  <c r="BB12" i="4" s="1"/>
  <c r="AO12" i="4"/>
  <c r="AX12" i="4" s="1"/>
  <c r="AP11" i="4"/>
  <c r="AY11" i="4" s="1"/>
  <c r="AS10" i="4"/>
  <c r="BB10" i="4" s="1"/>
  <c r="AT10" i="4"/>
  <c r="BC10" i="4" s="1"/>
  <c r="AS8" i="4"/>
  <c r="BB8" i="4" s="1"/>
  <c r="AM8" i="4"/>
  <c r="AV8" i="4" s="1"/>
  <c r="AP7" i="4"/>
  <c r="AY7" i="4" s="1"/>
  <c r="AS6" i="4"/>
  <c r="BB6" i="4" s="1"/>
  <c r="AP5" i="4"/>
  <c r="AY5" i="4" s="1"/>
  <c r="AP3" i="4"/>
  <c r="AY3" i="4" s="1"/>
  <c r="AO8" i="4"/>
  <c r="AX8" i="4" s="1"/>
  <c r="AN3" i="4"/>
  <c r="AW3" i="4" s="1"/>
  <c r="AS4" i="4"/>
  <c r="BB4" i="4" s="1"/>
  <c r="AT9" i="4"/>
  <c r="BC9" i="4" s="1"/>
  <c r="AN9" i="4"/>
  <c r="AW9" i="4" s="1"/>
  <c r="AQ6" i="4"/>
  <c r="AZ6" i="4" s="1"/>
  <c r="AT5" i="4"/>
  <c r="BC5" i="4" s="1"/>
  <c r="AM3" i="4"/>
  <c r="AV3" i="4" s="1"/>
  <c r="AM9" i="4"/>
  <c r="AV9" i="4" s="1"/>
  <c r="AR7" i="4"/>
  <c r="BA7" i="4" s="1"/>
  <c r="AP4" i="4"/>
  <c r="AY4" i="4" s="1"/>
  <c r="AL9" i="4"/>
  <c r="AU9" i="4" s="1"/>
  <c r="AM12" i="4"/>
  <c r="AV12" i="4" s="1"/>
  <c r="AP9" i="4"/>
  <c r="AY9" i="4" s="1"/>
  <c r="AR12" i="4"/>
  <c r="BA12" i="4" s="1"/>
  <c r="AL12" i="4"/>
  <c r="AU12" i="4" s="1"/>
  <c r="AO11" i="4"/>
  <c r="AX11" i="4" s="1"/>
  <c r="AN10" i="4"/>
  <c r="AW10" i="4" s="1"/>
  <c r="AS9" i="4"/>
  <c r="BB9" i="4" s="1"/>
  <c r="AR8" i="4"/>
  <c r="BA8" i="4" s="1"/>
  <c r="AP8" i="4"/>
  <c r="AY8" i="4" s="1"/>
  <c r="AL6" i="4"/>
  <c r="AU6" i="4" s="1"/>
  <c r="BE6" i="4" s="1"/>
  <c r="AO5" i="4"/>
  <c r="AX5" i="4" s="1"/>
  <c r="AO4" i="4"/>
  <c r="AX4" i="4" s="1"/>
  <c r="AQ12" i="4"/>
  <c r="AZ12" i="4" s="1"/>
  <c r="AT11" i="4"/>
  <c r="BC11" i="4" s="1"/>
  <c r="AN11" i="4"/>
  <c r="AW11" i="4" s="1"/>
  <c r="AQ8" i="4"/>
  <c r="AZ8" i="4" s="1"/>
  <c r="AT7" i="4"/>
  <c r="BC7" i="4" s="1"/>
  <c r="AN7" i="4"/>
  <c r="AW7" i="4" s="1"/>
  <c r="AN5" i="4"/>
  <c r="AW5" i="4" s="1"/>
  <c r="AQ4" i="4"/>
  <c r="AZ4" i="4" s="1"/>
  <c r="AT3" i="4"/>
  <c r="BC3" i="4" s="1"/>
  <c r="AQ3" i="4"/>
  <c r="AZ3" i="4" s="1"/>
  <c r="AL11" i="4"/>
  <c r="AU11" i="4" s="1"/>
  <c r="AL7" i="4"/>
  <c r="AU7" i="4" s="1"/>
  <c r="BE7" i="4" s="1"/>
  <c r="AS3" i="4"/>
  <c r="BB3" i="4" s="1"/>
  <c r="AR3" i="4"/>
  <c r="BA3" i="4" s="1"/>
  <c r="AR11" i="4"/>
  <c r="BA11" i="4" s="1"/>
  <c r="AP10" i="4"/>
  <c r="AY10" i="4" s="1"/>
  <c r="AL5" i="4"/>
  <c r="AU5" i="4" s="1"/>
  <c r="AR9" i="4"/>
  <c r="BA9" i="4" s="1"/>
  <c r="AN4" i="4"/>
  <c r="AW4" i="4" s="1"/>
  <c r="AQ10" i="4"/>
  <c r="AZ10" i="4" s="1"/>
  <c r="AP6" i="4"/>
  <c r="AY6" i="4" s="1"/>
  <c r="AO10" i="4"/>
  <c r="AX10" i="4" s="1"/>
  <c r="AO6" i="4"/>
  <c r="AX6" i="4" s="1"/>
  <c r="AL3" i="4"/>
  <c r="AO3" i="4"/>
  <c r="AX3" i="4" s="1"/>
  <c r="AQ11" i="4"/>
  <c r="AZ11" i="4" s="1"/>
  <c r="AQ9" i="4"/>
  <c r="AZ9" i="4" s="1"/>
  <c r="AT8" i="4"/>
  <c r="BC8" i="4" s="1"/>
  <c r="AN8" i="4"/>
  <c r="AW8" i="4" s="1"/>
  <c r="AT6" i="4"/>
  <c r="BC6" i="4" s="1"/>
  <c r="AN6" i="4"/>
  <c r="AW6" i="4" s="1"/>
  <c r="AQ5" i="4"/>
  <c r="AZ5" i="4" s="1"/>
  <c r="AM10" i="4"/>
  <c r="AV10" i="4" s="1"/>
  <c r="AM6" i="4"/>
  <c r="AV6" i="4" s="1"/>
  <c r="AM4" i="4"/>
  <c r="AV4" i="4" s="1"/>
  <c r="AR10" i="4"/>
  <c r="BA10" i="4" s="1"/>
  <c r="AL10" i="4"/>
  <c r="AU10" i="4" s="1"/>
  <c r="AO9" i="4"/>
  <c r="AX9" i="4" s="1"/>
  <c r="AL8" i="4"/>
  <c r="AU8" i="4" s="1"/>
  <c r="AO7" i="4"/>
  <c r="AX7" i="4" s="1"/>
  <c r="AR6" i="4"/>
  <c r="BA6" i="4" s="1"/>
  <c r="AR4" i="4"/>
  <c r="BA4" i="4" s="1"/>
  <c r="AL4" i="4"/>
  <c r="AU4" i="4" s="1"/>
  <c r="AT12" i="4"/>
  <c r="BC12" i="4" s="1"/>
  <c r="AN12" i="4"/>
  <c r="AW12" i="4" s="1"/>
  <c r="AS11" i="4"/>
  <c r="BB11" i="4" s="1"/>
  <c r="AS7" i="4"/>
  <c r="BB7" i="4" s="1"/>
  <c r="AM7" i="4"/>
  <c r="AV7" i="4" s="1"/>
  <c r="AS5" i="4"/>
  <c r="BB5" i="4" s="1"/>
  <c r="AM5" i="4"/>
  <c r="AV5" i="4" s="1"/>
  <c r="AM11" i="4"/>
  <c r="AV11" i="4" s="1"/>
  <c r="BD8" i="4" l="1"/>
  <c r="BD10" i="4"/>
  <c r="BE8" i="4"/>
  <c r="BD4" i="4"/>
  <c r="BD7" i="4"/>
  <c r="BF7" i="4" s="1"/>
  <c r="BG7" i="4" s="1"/>
  <c r="BH7" i="4" s="1"/>
  <c r="BD9" i="4"/>
  <c r="BF9" i="4" s="1"/>
  <c r="BG9" i="4" s="1"/>
  <c r="BH9" i="4" s="1"/>
  <c r="BE9" i="4"/>
  <c r="BD5" i="4"/>
  <c r="BE5" i="4"/>
  <c r="BD11" i="4"/>
  <c r="BE11" i="4"/>
  <c r="BE4" i="4"/>
  <c r="BD6" i="4"/>
  <c r="BF6" i="4" s="1"/>
  <c r="BG6" i="4" s="1"/>
  <c r="BH6" i="4" s="1"/>
  <c r="BD12" i="4"/>
  <c r="BE12" i="4"/>
  <c r="BE10" i="4"/>
  <c r="AU3" i="4"/>
  <c r="BF4" i="4" l="1"/>
  <c r="BG4" i="4" s="1"/>
  <c r="BH4" i="4" s="1"/>
  <c r="BF11" i="4"/>
  <c r="BG11" i="4" s="1"/>
  <c r="BH11" i="4" s="1"/>
  <c r="BF12" i="4"/>
  <c r="BG12" i="4" s="1"/>
  <c r="BH12" i="4" s="1"/>
  <c r="BF5" i="4"/>
  <c r="BG5" i="4" s="1"/>
  <c r="BH5" i="4" s="1"/>
  <c r="BF10" i="4"/>
  <c r="BG10" i="4" s="1"/>
  <c r="BH10" i="4" s="1"/>
  <c r="BF8" i="4"/>
  <c r="BG8" i="4" s="1"/>
  <c r="BH8" i="4" s="1"/>
  <c r="BF3" i="4" l="1"/>
  <c r="BH3" i="4" s="1"/>
</calcChain>
</file>

<file path=xl/sharedStrings.xml><?xml version="1.0" encoding="utf-8"?>
<sst xmlns="http://schemas.openxmlformats.org/spreadsheetml/2006/main" count="520" uniqueCount="65">
  <si>
    <t>A</t>
  </si>
  <si>
    <t>B</t>
  </si>
  <si>
    <t>C</t>
  </si>
  <si>
    <t>D</t>
  </si>
  <si>
    <t>E</t>
  </si>
  <si>
    <t>F</t>
  </si>
  <si>
    <t>G</t>
  </si>
  <si>
    <t>H</t>
  </si>
  <si>
    <t>I</t>
  </si>
  <si>
    <t>#</t>
  </si>
  <si>
    <t>Data per question subsection</t>
  </si>
  <si>
    <t>Question</t>
  </si>
  <si>
    <t>STUDENT</t>
  </si>
  <si>
    <t>D'</t>
  </si>
  <si>
    <t>Key/Correct answer</t>
  </si>
  <si>
    <t>D (number of distractors)</t>
  </si>
  <si>
    <t>S=question score, number of correct responses</t>
  </si>
  <si>
    <t>dITA Calculator</t>
  </si>
  <si>
    <t>Information Theoretical Analysis of MCQ distractor randomness (D̄) and concentration (Γ)</t>
  </si>
  <si>
    <t>What this computes, for a single MCQ item:</t>
  </si>
  <si>
    <t>•  p_K — the fraction of students who chose the correct answer.</t>
  </si>
  <si>
    <t>•  D̄ ("D-bar") — the degree of randomness in the incorrect answers, on a scale from 1/D (all incorrect answers on one option) to 1 (incorrect answers spread evenly across all D nominal distractor options).</t>
  </si>
  <si>
    <t>•  Γ ("Gamma") — Bao &amp; Redish's (2001) concentration statistic, computed on the same incorrect-answer data, for comparison. Γ is most sensitive to the size of the single largest wrong-answer cluster; D̄ is most sensitive to how many distinct wrong answers are in play at all.</t>
  </si>
  <si>
    <t>•  Quadrant — where the item falls on the p_K–D̄ plane (Q1: high score, high randomness · Q2: low score, high randomness · Q3: low score, low randomness — the diagnostically rich case · Q4: high score, low randomness).</t>
  </si>
  <si>
    <t>How to use this workbook</t>
  </si>
  <si>
    <t>1.  Open the "Worked Example" tab first. It reproduces the ten illustrative rows from Table 1 of the source paper, with live formulas. Check that the "Matches paper?" column reads TRUE for every row — that confirms this copy of the tool is computing correctly before you trust it on your own data.</t>
  </si>
  <si>
    <t>Γ</t>
  </si>
  <si>
    <t>Bao et al</t>
  </si>
  <si>
    <t>Diener</t>
  </si>
  <si>
    <t>Score or fraction of students that submitted the correct answer (key) to the question</t>
  </si>
  <si>
    <t>Typical MCQ structure and nomenclature</t>
  </si>
  <si>
    <t>Number of key submission divided by the total number of submissions.</t>
  </si>
  <si>
    <t>-</t>
  </si>
  <si>
    <t>Number of MCQ answer options</t>
  </si>
  <si>
    <t>m</t>
  </si>
  <si>
    <t>m-1</t>
  </si>
  <si>
    <r>
      <t xml:space="preserve">Number of distractors (the implict assumption is that there is </t>
    </r>
    <r>
      <rPr>
        <b/>
        <sz val="12"/>
        <color theme="1"/>
        <rFont val="Calibri"/>
        <family val="2"/>
        <scheme val="minor"/>
      </rPr>
      <t xml:space="preserve">ONLY one correct answer </t>
    </r>
    <r>
      <rPr>
        <sz val="12"/>
        <color theme="1"/>
        <rFont val="Calibri"/>
        <family val="2"/>
        <scheme val="minor"/>
      </rPr>
      <t>to each MCQ, key)</t>
    </r>
  </si>
  <si>
    <t>N</t>
  </si>
  <si>
    <t>Number of responses to each question</t>
  </si>
  <si>
    <t xml:space="preserve">S </t>
  </si>
  <si>
    <t>p_K</t>
  </si>
  <si>
    <t>100*S/N</t>
  </si>
  <si>
    <t>p_K[%] = p_K*100</t>
  </si>
  <si>
    <t>D̄=D'/D</t>
  </si>
  <si>
    <t>r</t>
  </si>
  <si>
    <t>dH'</t>
  </si>
  <si>
    <t>qH'</t>
  </si>
  <si>
    <t>kH'</t>
  </si>
  <si>
    <t xml:space="preserve">r </t>
  </si>
  <si>
    <t>(r - 1/SQRT(D))*SQRT(D)/(SQRT(D)-1)</t>
  </si>
  <si>
    <t>TRANSLATION TABLE between Bao et al and Diener et al. and formulas</t>
  </si>
  <si>
    <t>kH'+dH'</t>
  </si>
  <si>
    <t>UA</t>
  </si>
  <si>
    <t>Quadrant</t>
  </si>
  <si>
    <t>Paper D̄</t>
  </si>
  <si>
    <t>Paper Γ</t>
  </si>
  <si>
    <t>Matches
paper?</t>
  </si>
  <si>
    <t xml:space="preserve">p_K [%] </t>
  </si>
  <si>
    <t>2. Import your data to the "YOUR DATA" sheet. The raw answer assessment data is expected - both correct and incorrect answers are of interest here.  In both D̄ and Γ calculations, unanswered or blank data is ignored. Such raw data can be entered in any way into the sheet (e.g "BLANK", " - ", "0", UA = unanswered, etc), as long as it does not correspond to an answer option (A, B, C, etc)</t>
  </si>
  <si>
    <t>4. After entering your data the calcultion should be completed automatically. There should be no "#DIV/0"errors. If there persist, please refer to the "WORKED EXAMPLE".</t>
  </si>
  <si>
    <t>5. Make sure the graph reads all the calculated data and expand the plotted series as needed.</t>
  </si>
  <si>
    <t>Dbar</t>
  </si>
  <si>
    <t>Gamma</t>
  </si>
  <si>
    <t>3. The details of the assesment needs to be entered into what is currently columns X and Y in the "YOUR DATA" sheet: in column X the letter corresponding to the key of the MCQ, and in column Y "D" for the MCQ, the number of distractor options (total number of answer options - 1 for the key option). Also check that the data section as the correct number of questions and student participants.  Insert additional columns/rows as required and check that all formulas transfer as well.</t>
  </si>
  <si>
    <t>SQRT(SUM of SQUARE of distractor answers)/(SUM of distractor answers)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</si>
</sst>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b/>
      <sz val="16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20"/>
      <color theme="1"/>
      <name val="Calibri"/>
      <family val="2"/>
      <scheme val="minor"/>
    </font>
    <font>
      <sz val="12"/>
      <color rgb="FFFF0000"/>
      <name val="Calibri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i/>
      <sz val="11"/>
      <color rgb="FF595959"/>
      <name val="Arial"/>
      <family val="2"/>
    </font>
    <font>
      <b/>
      <sz val="12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8A8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33" borderId="0" xfId="1" applyFont="1" applyFill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90" wrapText="1"/>
    </xf>
    <xf numFmtId="0" fontId="0" fillId="37" borderId="0" xfId="0" applyFill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2" fontId="20" fillId="0" borderId="0" xfId="1" applyNumberFormat="1" applyFont="1" applyFill="1" applyBorder="1" applyAlignment="1">
      <alignment horizontal="center" vertical="center"/>
    </xf>
    <xf numFmtId="2" fontId="20" fillId="0" borderId="12" xfId="1" applyNumberFormat="1" applyFont="1" applyFill="1" applyBorder="1" applyAlignment="1">
      <alignment horizontal="center" vertical="center"/>
    </xf>
    <xf numFmtId="2" fontId="20" fillId="0" borderId="13" xfId="1" applyNumberFormat="1" applyFont="1" applyFill="1" applyBorder="1" applyAlignment="1">
      <alignment horizontal="center" vertical="center"/>
    </xf>
    <xf numFmtId="2" fontId="0" fillId="0" borderId="0" xfId="0" applyNumberFormat="1"/>
    <xf numFmtId="0" fontId="18" fillId="0" borderId="0" xfId="0" applyFont="1" applyAlignment="1">
      <alignment horizontal="center" vertical="center" textRotation="90"/>
    </xf>
    <xf numFmtId="0" fontId="18" fillId="0" borderId="19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9" fontId="18" fillId="36" borderId="19" xfId="1" applyFont="1" applyFill="1" applyBorder="1" applyAlignment="1">
      <alignment horizontal="center" vertical="center" wrapText="1"/>
    </xf>
    <xf numFmtId="9" fontId="18" fillId="36" borderId="0" xfId="1" applyFont="1" applyFill="1" applyBorder="1" applyAlignment="1">
      <alignment horizontal="center" vertical="center" wrapText="1"/>
    </xf>
    <xf numFmtId="9" fontId="18" fillId="36" borderId="15" xfId="1" applyFont="1" applyFill="1" applyBorder="1" applyAlignment="1">
      <alignment horizontal="center" vertical="center" wrapText="1"/>
    </xf>
    <xf numFmtId="9" fontId="18" fillId="36" borderId="20" xfId="1" applyFont="1" applyFill="1" applyBorder="1" applyAlignment="1">
      <alignment horizontal="center" vertical="center" wrapText="1"/>
    </xf>
    <xf numFmtId="9" fontId="18" fillId="36" borderId="10" xfId="1" applyFont="1" applyFill="1" applyBorder="1" applyAlignment="1">
      <alignment horizontal="center" vertical="center" wrapText="1"/>
    </xf>
    <xf numFmtId="9" fontId="18" fillId="36" borderId="16" xfId="1" applyFont="1" applyFill="1" applyBorder="1" applyAlignment="1">
      <alignment horizontal="center" vertical="center" wrapText="1"/>
    </xf>
    <xf numFmtId="0" fontId="0" fillId="34" borderId="19" xfId="0" applyFill="1" applyBorder="1"/>
    <xf numFmtId="0" fontId="0" fillId="34" borderId="0" xfId="0" applyFill="1"/>
    <xf numFmtId="0" fontId="0" fillId="34" borderId="15" xfId="0" applyFill="1" applyBorder="1"/>
    <xf numFmtId="0" fontId="0" fillId="34" borderId="20" xfId="0" applyFill="1" applyBorder="1"/>
    <xf numFmtId="0" fontId="0" fillId="34" borderId="10" xfId="0" applyFill="1" applyBorder="1"/>
    <xf numFmtId="0" fontId="0" fillId="34" borderId="16" xfId="0" applyFill="1" applyBorder="1"/>
    <xf numFmtId="2" fontId="20" fillId="0" borderId="19" xfId="1" applyNumberFormat="1" applyFont="1" applyFill="1" applyBorder="1" applyAlignment="1">
      <alignment horizontal="center" vertical="center"/>
    </xf>
    <xf numFmtId="2" fontId="20" fillId="0" borderId="15" xfId="1" applyNumberFormat="1" applyFont="1" applyFill="1" applyBorder="1" applyAlignment="1">
      <alignment horizontal="center" vertical="center"/>
    </xf>
    <xf numFmtId="2" fontId="20" fillId="0" borderId="20" xfId="1" applyNumberFormat="1" applyFont="1" applyFill="1" applyBorder="1" applyAlignment="1">
      <alignment horizontal="center" vertical="center"/>
    </xf>
    <xf numFmtId="2" fontId="20" fillId="0" borderId="10" xfId="1" applyNumberFormat="1" applyFont="1" applyFill="1" applyBorder="1" applyAlignment="1">
      <alignment horizontal="center" vertical="center"/>
    </xf>
    <xf numFmtId="2" fontId="20" fillId="0" borderId="16" xfId="1" applyNumberFormat="1" applyFont="1" applyFill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0" fontId="0" fillId="0" borderId="12" xfId="0" applyBorder="1" applyAlignment="1">
      <alignment wrapText="1"/>
    </xf>
    <xf numFmtId="2" fontId="0" fillId="0" borderId="12" xfId="0" applyNumberFormat="1" applyBorder="1" applyAlignment="1">
      <alignment wrapText="1"/>
    </xf>
    <xf numFmtId="2" fontId="0" fillId="0" borderId="13" xfId="0" applyNumberFormat="1" applyBorder="1" applyAlignment="1">
      <alignment wrapText="1"/>
    </xf>
    <xf numFmtId="2" fontId="19" fillId="38" borderId="12" xfId="0" applyNumberFormat="1" applyFont="1" applyFill="1" applyBorder="1" applyAlignment="1">
      <alignment horizontal="center" vertical="center" wrapText="1"/>
    </xf>
    <xf numFmtId="2" fontId="19" fillId="38" borderId="1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vertical="top" wrapText="1"/>
    </xf>
    <xf numFmtId="0" fontId="25" fillId="0" borderId="1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top" wrapText="1"/>
    </xf>
    <xf numFmtId="2" fontId="0" fillId="0" borderId="17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6" fillId="39" borderId="0" xfId="0" applyFont="1" applyFill="1" applyAlignment="1">
      <alignment horizontal="center" vertical="center"/>
    </xf>
    <xf numFmtId="0" fontId="28" fillId="0" borderId="21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 textRotation="90" wrapText="1"/>
    </xf>
    <xf numFmtId="2" fontId="0" fillId="0" borderId="18" xfId="0" applyNumberFormat="1" applyBorder="1" applyAlignment="1">
      <alignment horizontal="center" vertical="center" textRotation="90" wrapText="1"/>
    </xf>
    <xf numFmtId="2" fontId="0" fillId="0" borderId="14" xfId="0" applyNumberFormat="1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7" fillId="0" borderId="2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29" fillId="0" borderId="21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'WORKED EXAMPLE'!$BH$2</c:f>
              <c:strCache>
                <c:ptCount val="1"/>
                <c:pt idx="0">
                  <c:v>Dbar</c:v>
                </c:pt>
              </c:strCache>
            </c:strRef>
          </c:tx>
          <c:spPr>
            <a:ln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26095EDC-19BD-7F40-80F9-120D62AC227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B5B-1F42-8B31-2786B39AFA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ED8D023-F349-A847-B79D-F4E83D7C200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B5B-1F42-8B31-2786B39AFA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CB039F4-E20B-6A4E-A1F2-29E82D5B7E9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B5B-1F42-8B31-2786B39AFA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F69001-DDB9-CF42-B19B-6760004779D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B5B-1F42-8B31-2786B39AFAC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E5BEC3E-4B33-E742-AD7E-4C4E57CEB94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B5B-1F42-8B31-2786B39AFAC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A816C58-EC7F-6F4B-A1A1-91D709F3980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B5B-1F42-8B31-2786B39AFAC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074A583-431C-BD42-BE51-4B45F993A4F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B5B-1F42-8B31-2786B39AFAC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2DBC059-AA62-164E-8FA3-FB5484B180B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B5B-1F42-8B31-2786B39AFAC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37026A1-B22C-FC48-98E0-AEBC79701FC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B5B-1F42-8B31-2786B39AFAC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9EB3456-A570-3A45-A735-21E65CBC461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B5B-1F42-8B31-2786B39AFAC5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'WORKED EXAMPLE'!$AB$3:$AB$12</c:f>
              <c:numCache>
                <c:formatCode>0%</c:formatCode>
                <c:ptCount val="10"/>
                <c:pt idx="0">
                  <c:v>0.2</c:v>
                </c:pt>
                <c:pt idx="1">
                  <c:v>0.25</c:v>
                </c:pt>
                <c:pt idx="2">
                  <c:v>0.45</c:v>
                </c:pt>
                <c:pt idx="3">
                  <c:v>0.35</c:v>
                </c:pt>
                <c:pt idx="4">
                  <c:v>0.3</c:v>
                </c:pt>
                <c:pt idx="5">
                  <c:v>0.5</c:v>
                </c:pt>
                <c:pt idx="6">
                  <c:v>0.6</c:v>
                </c:pt>
                <c:pt idx="7">
                  <c:v>0.4</c:v>
                </c:pt>
                <c:pt idx="8">
                  <c:v>0.5</c:v>
                </c:pt>
                <c:pt idx="9">
                  <c:v>0.95</c:v>
                </c:pt>
              </c:numCache>
            </c:numRef>
          </c:xVal>
          <c:yVal>
            <c:numRef>
              <c:f>'WORKED EXAMPLE'!$BH$3:$BH$12</c:f>
              <c:numCache>
                <c:formatCode>0.00</c:formatCode>
                <c:ptCount val="10"/>
                <c:pt idx="0">
                  <c:v>0.99999999999999989</c:v>
                </c:pt>
                <c:pt idx="1">
                  <c:v>0.75</c:v>
                </c:pt>
                <c:pt idx="2">
                  <c:v>0.62510885551934126</c:v>
                </c:pt>
                <c:pt idx="3">
                  <c:v>0.55290764095209133</c:v>
                </c:pt>
                <c:pt idx="4">
                  <c:v>0.53190115648206593</c:v>
                </c:pt>
                <c:pt idx="5">
                  <c:v>0.5</c:v>
                </c:pt>
                <c:pt idx="6">
                  <c:v>0.49999999999999994</c:v>
                </c:pt>
                <c:pt idx="7">
                  <c:v>0.49307149502047792</c:v>
                </c:pt>
                <c:pt idx="8">
                  <c:v>0.25</c:v>
                </c:pt>
                <c:pt idx="9">
                  <c:v>0.24999999999999972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'WORKED EXAMPLE'!$Z$3:$Z$12</c15:f>
                <c15:dlblRangeCache>
                  <c:ptCount val="1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B5B-1F42-8B31-2786B39AFAC5}"/>
            </c:ext>
          </c:extLst>
        </c:ser>
        <c:ser>
          <c:idx val="0"/>
          <c:order val="1"/>
          <c:tx>
            <c:strRef>
              <c:f>'WORKED EXAMPLE'!$BJ$2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C5A3119-2423-8D44-98C8-729F966A576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B5B-1F42-8B31-2786B39AFA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C9429B-AB7B-7048-A1AE-137DB3F439D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B5B-1F42-8B31-2786B39AFA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3AC9DE-87AB-4F48-B4B0-193FAEBE6F72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B5B-1F42-8B31-2786B39AFA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EC14C80-6E96-874F-96A2-77D71A4FA337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B5B-1F42-8B31-2786B39AFAC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3198E5-FF83-C54A-A8D3-96B5E5CDF20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B5B-1F42-8B31-2786B39AFAC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FE4DBE0-64ED-7547-8A50-452CED4A6CA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B5B-1F42-8B31-2786B39AFAC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E1B2E35-BD68-A04A-90C2-BE4C4DF59C9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B5B-1F42-8B31-2786B39AFAC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366A381-2D99-2648-BD29-46A72C42C58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B5B-1F42-8B31-2786B39AFAC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5B9FC25-623C-C84B-8100-86EE16B7C30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B5B-1F42-8B31-2786B39AFAC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64DACAA-4FB9-2E49-B2CF-D7246F42F33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B5B-1F42-8B31-2786B39AFAC5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'WORKED EXAMPLE'!$AB$3:$AB$12</c:f>
              <c:numCache>
                <c:formatCode>0%</c:formatCode>
                <c:ptCount val="10"/>
                <c:pt idx="0">
                  <c:v>0.2</c:v>
                </c:pt>
                <c:pt idx="1">
                  <c:v>0.25</c:v>
                </c:pt>
                <c:pt idx="2">
                  <c:v>0.45</c:v>
                </c:pt>
                <c:pt idx="3">
                  <c:v>0.35</c:v>
                </c:pt>
                <c:pt idx="4">
                  <c:v>0.3</c:v>
                </c:pt>
                <c:pt idx="5">
                  <c:v>0.5</c:v>
                </c:pt>
                <c:pt idx="6">
                  <c:v>0.6</c:v>
                </c:pt>
                <c:pt idx="7">
                  <c:v>0.4</c:v>
                </c:pt>
                <c:pt idx="8">
                  <c:v>0.5</c:v>
                </c:pt>
                <c:pt idx="9">
                  <c:v>0.95</c:v>
                </c:pt>
              </c:numCache>
            </c:numRef>
          </c:xVal>
          <c:yVal>
            <c:numRef>
              <c:f>'WORKED EXAMPLE'!$BJ$3:$BJ$12</c:f>
              <c:numCache>
                <c:formatCode>0.00</c:formatCode>
                <c:ptCount val="10"/>
                <c:pt idx="0">
                  <c:v>0</c:v>
                </c:pt>
                <c:pt idx="1">
                  <c:v>0.15470053837925168</c:v>
                </c:pt>
                <c:pt idx="2">
                  <c:v>0.32365634350554884</c:v>
                </c:pt>
                <c:pt idx="3">
                  <c:v>0.56136793309111055</c:v>
                </c:pt>
                <c:pt idx="4">
                  <c:v>0.59078981795143481</c:v>
                </c:pt>
                <c:pt idx="5">
                  <c:v>0.41421356237309515</c:v>
                </c:pt>
                <c:pt idx="6">
                  <c:v>0.41421356237309515</c:v>
                </c:pt>
                <c:pt idx="7">
                  <c:v>0.43372087784043778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'WORKED EXAMPLE'!$Z$3:$Z$12</c15:f>
                <c15:dlblRangeCache>
                  <c:ptCount val="1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B5B-1F42-8B31-2786B39A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329983"/>
        <c:axId val="1904360767"/>
      </c:scatterChart>
      <c:valAx>
        <c:axId val="193832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p_K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904360767"/>
        <c:crosses val="autoZero"/>
        <c:crossBetween val="midCat"/>
      </c:valAx>
      <c:valAx>
        <c:axId val="19043607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Dbar/Gamma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938329983"/>
        <c:crosses val="autoZero"/>
        <c:crossBetween val="midCat"/>
        <c:majorUnit val="0.1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B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'YOUR DATA'!$BH$2</c:f>
              <c:strCache>
                <c:ptCount val="1"/>
                <c:pt idx="0">
                  <c:v>Dbar</c:v>
                </c:pt>
              </c:strCache>
            </c:strRef>
          </c:tx>
          <c:spPr>
            <a:ln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E5BBBC89-E7DE-7240-A593-DDC34807962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965-A64A-990E-3668ED15C3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939F75-9B34-D74E-B264-D588F930B305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965-A64A-990E-3668ED15C3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23828B3-F343-D445-8699-D3009D2EEFB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965-A64A-990E-3668ED15C3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5DA40B0-45F5-504A-BE06-EB4A54E9394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965-A64A-990E-3668ED15C3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98C796-EF24-FC40-9FD9-B4CA44BB4A7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965-A64A-990E-3668ED15C3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A942AD0-6AF1-2F49-96B8-9E6997E1CF9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965-A64A-990E-3668ED15C3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23D631C-58B2-D344-879D-EDF68FA830C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965-A64A-990E-3668ED15C3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8593B39-94B3-3A43-9BFC-C0DA1726E74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965-A64A-990E-3668ED15C3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FE0099B-9A31-934E-BE46-32B35A2615C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965-A64A-990E-3668ED15C3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B0DDBC0-907A-5644-8713-0475EC83CA1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965-A64A-990E-3668ED15C35D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'YOUR DATA'!$AB$3:$AB$12</c:f>
              <c:numCache>
                <c:formatCode>0%</c:formatCode>
                <c:ptCount val="10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'YOUR DATA'!$BH$3:$BH$12</c:f>
              <c:numCache>
                <c:formatCode>0.00</c:formatCode>
                <c:ptCount val="10"/>
                <c:pt idx="0">
                  <c:v>0.47287080450158786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'YOUR DATA'!$Z$3:$Z$12</c15:f>
                <c15:dlblRangeCache>
                  <c:ptCount val="1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7965-A64A-990E-3668ED15C35D}"/>
            </c:ext>
          </c:extLst>
        </c:ser>
        <c:ser>
          <c:idx val="0"/>
          <c:order val="1"/>
          <c:tx>
            <c:strRef>
              <c:f>'YOUR DATA'!$BJ$2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79E4264-4AD1-564A-8860-21CBE2CA1EB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965-A64A-990E-3668ED15C3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917CAB-6BF5-044A-A85D-67C06F36E92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965-A64A-990E-3668ED15C3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DD210F-C33D-F546-AF83-88FCB8D8159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965-A64A-990E-3668ED15C3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1C12C26-2135-9448-ABD8-7853B7C394D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965-A64A-990E-3668ED15C3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80801C0-13DA-2944-8ED9-F00FC0E4974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965-A64A-990E-3668ED15C3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40030FD-C4BA-604F-AAEF-29778CCEA33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965-A64A-990E-3668ED15C3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6B2774E-D129-2543-B94E-8B8C123D33B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965-A64A-990E-3668ED15C3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21BFE1-6FC9-CD47-9701-1183777B245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965-A64A-990E-3668ED15C3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3B71D6C-9649-8D4F-AE5E-492714F8AFB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965-A64A-990E-3668ED15C3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833E8AD-47A8-624E-B598-703A86A2B00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965-A64A-990E-3668ED15C35D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'YOUR DATA'!$AB$3:$AB$12</c:f>
              <c:numCache>
                <c:formatCode>0%</c:formatCode>
                <c:ptCount val="10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'YOUR DATA'!$BJ$3:$BJ$12</c:f>
              <c:numCache>
                <c:formatCode>0.00</c:formatCode>
                <c:ptCount val="10"/>
                <c:pt idx="0">
                  <c:v>0.4907119849998598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'YOUR DATA'!$Z$3:$Z$12</c15:f>
                <c15:dlblRangeCache>
                  <c:ptCount val="1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7965-A64A-990E-3668ED15C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329983"/>
        <c:axId val="1904360767"/>
      </c:scatterChart>
      <c:valAx>
        <c:axId val="193832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p_K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904360767"/>
        <c:crosses val="autoZero"/>
        <c:crossBetween val="midCat"/>
      </c:valAx>
      <c:valAx>
        <c:axId val="19043607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Dbar/Gamma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BW"/>
          </a:p>
        </c:txPr>
        <c:crossAx val="1938329983"/>
        <c:crosses val="autoZero"/>
        <c:crossBetween val="midCat"/>
        <c:majorUnit val="0.1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BW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B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215900</xdr:colOff>
      <xdr:row>8</xdr:row>
      <xdr:rowOff>457200</xdr:rowOff>
    </xdr:from>
    <xdr:to>
      <xdr:col>0</xdr:col>
      <xdr:colOff>5422265</xdr:colOff>
      <xdr:row>8</xdr:row>
      <xdr:rowOff>3225165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5700B0-9939-41EA-6AD9-993E35707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1" b="681"/>
        <a:stretch/>
      </xdr:blipFill>
      <xdr:spPr bwMode="auto">
        <a:xfrm>
          <a:off x="215900" y="4330700"/>
          <a:ext cx="5206365" cy="276796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/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76200</xdr:colOff>
      <xdr:row>3</xdr:row>
      <xdr:rowOff>76200</xdr:rowOff>
    </xdr:from>
    <xdr:to>
      <xdr:col>77</xdr:col>
      <xdr:colOff>266700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30CA35-EB2E-95D2-8057-2E93AFF4C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76200</xdr:colOff>
      <xdr:row>3</xdr:row>
      <xdr:rowOff>76200</xdr:rowOff>
    </xdr:from>
    <xdr:to>
      <xdr:col>77</xdr:col>
      <xdr:colOff>266700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44E2D2-71CD-954D-9942-DFCF40EEB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2BA7-F4D2-C847-B950-F6A176E20B6E}">
  <dimension ref="A1:AI23"/>
  <sheetViews>
    <sheetView topLeftCell="A11" workbookViewId="0">
      <selection activeCell="G23" sqref="G23"/>
    </sheetView>
  </sheetViews>
  <sheetFormatPr baseColWidth="10" defaultColWidth="12.5" defaultRowHeight="50" customHeight="1" x14ac:dyDescent="0.2"/>
  <cols>
    <col min="1" max="1" width="75.5" customWidth="1"/>
    <col min="2" max="4" width="17.83203125" customWidth="1"/>
    <col min="5" max="5" width="20.6640625" customWidth="1"/>
    <col min="7" max="7" width="32.6640625" bestFit="1" customWidth="1"/>
    <col min="8" max="8" width="47.6640625" customWidth="1"/>
    <col min="9" max="9" width="19.33203125" customWidth="1"/>
    <col min="10" max="10" width="23" customWidth="1"/>
    <col min="12" max="12" width="25.1640625" customWidth="1"/>
  </cols>
  <sheetData>
    <row r="1" spans="1:1" ht="28" customHeight="1" x14ac:dyDescent="0.2">
      <c r="A1" s="44" t="s">
        <v>17</v>
      </c>
    </row>
    <row r="2" spans="1:1" ht="38" customHeight="1" x14ac:dyDescent="0.2">
      <c r="A2" s="45" t="s">
        <v>18</v>
      </c>
    </row>
    <row r="3" spans="1:1" ht="18" customHeight="1" x14ac:dyDescent="0.2"/>
    <row r="4" spans="1:1" ht="21" customHeight="1" x14ac:dyDescent="0.2">
      <c r="A4" s="46" t="s">
        <v>19</v>
      </c>
    </row>
    <row r="5" spans="1:1" ht="27" customHeight="1" x14ac:dyDescent="0.2">
      <c r="A5" s="47" t="s">
        <v>20</v>
      </c>
    </row>
    <row r="6" spans="1:1" ht="50" customHeight="1" x14ac:dyDescent="0.2">
      <c r="A6" s="47" t="s">
        <v>21</v>
      </c>
    </row>
    <row r="7" spans="1:1" ht="73" customHeight="1" x14ac:dyDescent="0.2">
      <c r="A7" s="47" t="s">
        <v>22</v>
      </c>
    </row>
    <row r="8" spans="1:1" ht="50" customHeight="1" x14ac:dyDescent="0.2">
      <c r="A8" s="47" t="s">
        <v>23</v>
      </c>
    </row>
    <row r="9" spans="1:1" ht="279" customHeight="1" x14ac:dyDescent="0.2">
      <c r="A9" s="51" t="s">
        <v>30</v>
      </c>
    </row>
    <row r="10" spans="1:1" ht="50" customHeight="1" x14ac:dyDescent="0.2">
      <c r="A10" s="61" t="s">
        <v>24</v>
      </c>
    </row>
    <row r="11" spans="1:1" ht="64" customHeight="1" x14ac:dyDescent="0.2">
      <c r="A11" s="47" t="s">
        <v>25</v>
      </c>
    </row>
    <row r="12" spans="1:1" ht="80" customHeight="1" x14ac:dyDescent="0.2">
      <c r="A12" s="47" t="s">
        <v>58</v>
      </c>
    </row>
    <row r="13" spans="1:1" ht="66" customHeight="1" x14ac:dyDescent="0.2">
      <c r="A13" s="47" t="s">
        <v>63</v>
      </c>
    </row>
    <row r="14" spans="1:1" ht="53" customHeight="1" x14ac:dyDescent="0.2">
      <c r="A14" s="47" t="s">
        <v>59</v>
      </c>
    </row>
    <row r="15" spans="1:1" ht="40" customHeight="1" x14ac:dyDescent="0.2">
      <c r="A15" s="47" t="s">
        <v>60</v>
      </c>
    </row>
    <row r="16" spans="1:1" ht="12" customHeight="1" x14ac:dyDescent="0.2">
      <c r="A16" s="47"/>
    </row>
    <row r="17" spans="1:35" ht="12" customHeight="1" x14ac:dyDescent="0.2">
      <c r="A17" s="47"/>
    </row>
    <row r="18" spans="1:35" ht="12" customHeight="1" x14ac:dyDescent="0.2">
      <c r="A18" s="47"/>
    </row>
    <row r="19" spans="1:35" ht="12" customHeight="1" x14ac:dyDescent="0.2">
      <c r="A19" s="47"/>
    </row>
    <row r="20" spans="1:35" ht="12" customHeight="1" x14ac:dyDescent="0.2">
      <c r="A20" s="47"/>
    </row>
    <row r="21" spans="1:35" s="7" customFormat="1" ht="107" customHeight="1" x14ac:dyDescent="0.2">
      <c r="A21" s="58" t="s">
        <v>50</v>
      </c>
      <c r="B21" s="59" t="s">
        <v>29</v>
      </c>
      <c r="C21" s="59" t="s">
        <v>31</v>
      </c>
      <c r="D21" s="59" t="s">
        <v>33</v>
      </c>
      <c r="E21" s="59" t="s">
        <v>36</v>
      </c>
      <c r="F21" s="59" t="s">
        <v>38</v>
      </c>
      <c r="G21" s="59" t="s">
        <v>48</v>
      </c>
      <c r="H21" s="60" t="s">
        <v>26</v>
      </c>
      <c r="I21" s="59" t="s">
        <v>47</v>
      </c>
      <c r="J21" s="59" t="s">
        <v>45</v>
      </c>
      <c r="K21" s="59" t="s">
        <v>46</v>
      </c>
      <c r="L21" s="59" t="s">
        <v>13</v>
      </c>
    </row>
    <row r="22" spans="1:35" s="2" customFormat="1" ht="50" customHeight="1" x14ac:dyDescent="0.2">
      <c r="A22" s="58" t="s">
        <v>27</v>
      </c>
      <c r="B22" s="58" t="s">
        <v>39</v>
      </c>
      <c r="C22" s="58" t="s">
        <v>41</v>
      </c>
      <c r="D22" s="58" t="s">
        <v>34</v>
      </c>
      <c r="E22" s="58" t="s">
        <v>35</v>
      </c>
      <c r="F22" s="58" t="s">
        <v>37</v>
      </c>
      <c r="G22" s="58" t="s">
        <v>64</v>
      </c>
      <c r="H22" s="58" t="s">
        <v>49</v>
      </c>
      <c r="I22" s="58" t="s">
        <v>32</v>
      </c>
      <c r="J22" s="58" t="s">
        <v>32</v>
      </c>
      <c r="K22" s="58" t="s">
        <v>32</v>
      </c>
      <c r="L22" s="58" t="s">
        <v>32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</row>
    <row r="23" spans="1:35" s="2" customFormat="1" ht="50" customHeight="1" x14ac:dyDescent="0.2">
      <c r="A23" s="58" t="s">
        <v>28</v>
      </c>
      <c r="B23" s="58" t="s">
        <v>40</v>
      </c>
      <c r="C23" s="58" t="s">
        <v>42</v>
      </c>
      <c r="D23" s="58" t="s">
        <v>32</v>
      </c>
      <c r="E23" s="58" t="s">
        <v>3</v>
      </c>
      <c r="F23" s="58"/>
      <c r="G23" s="58" t="s">
        <v>32</v>
      </c>
      <c r="H23" s="58" t="s">
        <v>32</v>
      </c>
      <c r="I23" s="58" t="str">
        <f>"-p_K*Log_base 2(p_K)"</f>
        <v>-p_K*Log_base 2(p_K)</v>
      </c>
      <c r="J23" s="58" t="str">
        <f>"SUM_i=1,..,D of (-p_i*Log_base 2(p_i))"</f>
        <v>SUM_i=1,..,D of (-p_i*Log_base 2(p_i))</v>
      </c>
      <c r="K23" s="58" t="s">
        <v>51</v>
      </c>
      <c r="L23" s="58" t="str">
        <f>"-(1-p_K)*2^(-dH'/(1-p_K))"</f>
        <v>-(1-p_K)*2^(-dH'/(1-p_K))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N12"/>
  <sheetViews>
    <sheetView tabSelected="1" topLeftCell="AK1" zoomScaleNormal="100" workbookViewId="0">
      <pane ySplit="2" topLeftCell="A3" activePane="bottomLeft" state="frozen"/>
      <selection pane="bottomLeft" activeCell="BO1" sqref="BO1"/>
    </sheetView>
  </sheetViews>
  <sheetFormatPr baseColWidth="10" defaultRowHeight="20" customHeight="1" x14ac:dyDescent="0.2"/>
  <cols>
    <col min="1" max="2" width="10.83203125" customWidth="1"/>
    <col min="3" max="22" width="4.33203125" style="7" customWidth="1"/>
    <col min="23" max="23" width="10.83203125" style="1" customWidth="1"/>
    <col min="24" max="24" width="5.6640625" style="1" customWidth="1"/>
    <col min="25" max="25" width="8.6640625" style="1" customWidth="1"/>
    <col min="26" max="26" width="4.6640625" style="1" customWidth="1"/>
    <col min="27" max="27" width="8.83203125" style="7" customWidth="1"/>
    <col min="28" max="28" width="8.33203125" style="7" bestFit="1" customWidth="1"/>
    <col min="29" max="30" width="5.5" customWidth="1"/>
    <col min="31" max="37" width="5" customWidth="1"/>
    <col min="38" max="46" width="5.1640625" customWidth="1"/>
    <col min="47" max="49" width="5.6640625" style="16" customWidth="1"/>
    <col min="50" max="50" width="7.1640625" style="16" bestFit="1" customWidth="1"/>
    <col min="51" max="51" width="5.6640625" style="16" customWidth="1"/>
    <col min="52" max="53" width="7.1640625" style="16" bestFit="1" customWidth="1"/>
    <col min="54" max="54" width="5.6640625" style="16" customWidth="1"/>
    <col min="55" max="55" width="7.1640625" style="16" bestFit="1" customWidth="1"/>
    <col min="56" max="57" width="5.6640625" style="16" customWidth="1"/>
    <col min="58" max="58" width="4.6640625" style="1" bestFit="1" customWidth="1"/>
    <col min="59" max="62" width="10.83203125" style="1"/>
    <col min="63" max="63" width="12.33203125" style="1" bestFit="1" customWidth="1"/>
    <col min="64" max="16384" width="10.83203125" style="1"/>
  </cols>
  <sheetData>
    <row r="1" spans="1:66" ht="103" customHeight="1" x14ac:dyDescent="0.2">
      <c r="A1" s="2"/>
      <c r="B1" s="2"/>
      <c r="C1" s="17" t="s">
        <v>12</v>
      </c>
      <c r="D1" s="17" t="s">
        <v>12</v>
      </c>
      <c r="E1" s="17" t="s">
        <v>12</v>
      </c>
      <c r="F1" s="17" t="s">
        <v>12</v>
      </c>
      <c r="G1" s="17" t="s">
        <v>12</v>
      </c>
      <c r="H1" s="17" t="s">
        <v>12</v>
      </c>
      <c r="I1" s="17" t="s">
        <v>12</v>
      </c>
      <c r="J1" s="17" t="s">
        <v>12</v>
      </c>
      <c r="K1" s="17" t="s">
        <v>12</v>
      </c>
      <c r="L1" s="17" t="s">
        <v>12</v>
      </c>
      <c r="M1" s="17" t="s">
        <v>12</v>
      </c>
      <c r="N1" s="17" t="s">
        <v>12</v>
      </c>
      <c r="O1" s="17" t="s">
        <v>12</v>
      </c>
      <c r="P1" s="17" t="s">
        <v>12</v>
      </c>
      <c r="Q1" s="17" t="s">
        <v>12</v>
      </c>
      <c r="R1" s="17" t="s">
        <v>12</v>
      </c>
      <c r="S1" s="17" t="s">
        <v>12</v>
      </c>
      <c r="T1" s="17" t="s">
        <v>12</v>
      </c>
      <c r="U1" s="17" t="s">
        <v>12</v>
      </c>
      <c r="V1" s="17" t="s">
        <v>12</v>
      </c>
      <c r="X1" s="9" t="s">
        <v>14</v>
      </c>
      <c r="Y1" s="9" t="s">
        <v>15</v>
      </c>
      <c r="AA1" s="10" t="s">
        <v>16</v>
      </c>
      <c r="AB1" s="7" t="s">
        <v>57</v>
      </c>
      <c r="AC1" s="62" t="s">
        <v>10</v>
      </c>
      <c r="AD1" s="63"/>
      <c r="AE1" s="63"/>
      <c r="AF1" s="63"/>
      <c r="AG1" s="63"/>
      <c r="AH1" s="63"/>
      <c r="AI1" s="63"/>
      <c r="AJ1" s="63"/>
      <c r="AK1" s="64"/>
      <c r="AL1" s="68"/>
      <c r="AM1" s="69"/>
      <c r="AN1" s="69"/>
      <c r="AO1" s="69"/>
      <c r="AP1" s="69"/>
      <c r="AQ1" s="69"/>
      <c r="AR1" s="69"/>
      <c r="AS1" s="69"/>
      <c r="AT1" s="70"/>
      <c r="AU1" s="65"/>
      <c r="AV1" s="66"/>
      <c r="AW1" s="66"/>
      <c r="AX1" s="66"/>
      <c r="AY1" s="66"/>
      <c r="AZ1" s="66"/>
      <c r="BA1" s="66"/>
      <c r="BB1" s="66"/>
      <c r="BC1" s="67"/>
      <c r="BD1" s="52" t="s">
        <v>46</v>
      </c>
      <c r="BE1" s="53" t="s">
        <v>47</v>
      </c>
      <c r="BF1" s="54" t="s">
        <v>45</v>
      </c>
      <c r="BG1" s="48" t="s">
        <v>13</v>
      </c>
      <c r="BH1" s="48" t="s">
        <v>43</v>
      </c>
      <c r="BI1" s="49" t="s">
        <v>44</v>
      </c>
      <c r="BJ1" s="49" t="s">
        <v>26</v>
      </c>
      <c r="BK1" s="75" t="s">
        <v>53</v>
      </c>
      <c r="BL1" s="75" t="s">
        <v>54</v>
      </c>
      <c r="BM1" s="75" t="s">
        <v>55</v>
      </c>
      <c r="BN1" s="75" t="s">
        <v>56</v>
      </c>
    </row>
    <row r="2" spans="1:66" ht="35" customHeight="1" x14ac:dyDescent="0.2">
      <c r="A2" s="4" t="s">
        <v>8</v>
      </c>
      <c r="B2" s="4" t="s">
        <v>9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X2"/>
      <c r="Y2"/>
      <c r="Z2" s="3" t="s">
        <v>9</v>
      </c>
      <c r="AC2" s="18" t="s">
        <v>0</v>
      </c>
      <c r="AD2" s="3" t="s">
        <v>1</v>
      </c>
      <c r="AE2" s="3" t="s">
        <v>2</v>
      </c>
      <c r="AF2" s="3" t="s">
        <v>3</v>
      </c>
      <c r="AG2" s="3" t="s">
        <v>4</v>
      </c>
      <c r="AH2" s="3" t="s">
        <v>5</v>
      </c>
      <c r="AI2" s="3" t="s">
        <v>6</v>
      </c>
      <c r="AJ2" s="3" t="s">
        <v>7</v>
      </c>
      <c r="AK2" s="19" t="s">
        <v>8</v>
      </c>
      <c r="AL2" s="18" t="s">
        <v>0</v>
      </c>
      <c r="AM2" s="3" t="s">
        <v>1</v>
      </c>
      <c r="AN2" s="3" t="s">
        <v>2</v>
      </c>
      <c r="AO2" s="3" t="s">
        <v>3</v>
      </c>
      <c r="AP2" s="3" t="s">
        <v>4</v>
      </c>
      <c r="AQ2" s="3" t="s">
        <v>5</v>
      </c>
      <c r="AR2" s="3" t="s">
        <v>6</v>
      </c>
      <c r="AS2" s="3" t="s">
        <v>7</v>
      </c>
      <c r="AT2" s="19" t="s">
        <v>8</v>
      </c>
      <c r="AU2" s="18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19" t="s">
        <v>8</v>
      </c>
      <c r="BD2" s="37"/>
      <c r="BE2" s="12"/>
      <c r="BF2" s="38"/>
      <c r="BG2" s="38"/>
      <c r="BH2" s="38" t="s">
        <v>61</v>
      </c>
      <c r="BJ2" s="1" t="s">
        <v>62</v>
      </c>
    </row>
    <row r="3" spans="1:66" ht="20" customHeight="1" x14ac:dyDescent="0.2">
      <c r="A3" s="7" t="s">
        <v>11</v>
      </c>
      <c r="B3" s="4">
        <v>1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4</v>
      </c>
      <c r="T3" s="2" t="s">
        <v>4</v>
      </c>
      <c r="U3" s="2" t="s">
        <v>4</v>
      </c>
      <c r="V3" s="2" t="s">
        <v>4</v>
      </c>
      <c r="X3" s="5" t="s">
        <v>0</v>
      </c>
      <c r="Y3" s="5">
        <v>4</v>
      </c>
      <c r="Z3">
        <f>B3</f>
        <v>1</v>
      </c>
      <c r="AA3" s="6">
        <f>COUNTIF(C3:V3,X3)</f>
        <v>4</v>
      </c>
      <c r="AB3" s="8">
        <f>AA3/(COUNT($C$2:$V$2))</f>
        <v>0.2</v>
      </c>
      <c r="AC3" s="26">
        <f>COUNTIF($C3:$V3,AC$2)</f>
        <v>4</v>
      </c>
      <c r="AD3" s="27">
        <f t="shared" ref="AD3:AK12" si="0">COUNTIF($C3:$V3,AD$2)</f>
        <v>4</v>
      </c>
      <c r="AE3" s="27">
        <f t="shared" si="0"/>
        <v>4</v>
      </c>
      <c r="AF3" s="27">
        <f t="shared" si="0"/>
        <v>4</v>
      </c>
      <c r="AG3" s="27">
        <f t="shared" si="0"/>
        <v>4</v>
      </c>
      <c r="AH3" s="27">
        <f t="shared" si="0"/>
        <v>0</v>
      </c>
      <c r="AI3" s="27">
        <f t="shared" si="0"/>
        <v>0</v>
      </c>
      <c r="AJ3" s="27">
        <f t="shared" si="0"/>
        <v>0</v>
      </c>
      <c r="AK3" s="28">
        <f t="shared" si="0"/>
        <v>0</v>
      </c>
      <c r="AL3" s="20">
        <f t="shared" ref="AL3:AL12" si="1">AC3/SUM($AC3:$AK3)</f>
        <v>0.2</v>
      </c>
      <c r="AM3" s="21">
        <f t="shared" ref="AM3:AM12" si="2">AD3/SUM($AC3:$AK3)</f>
        <v>0.2</v>
      </c>
      <c r="AN3" s="21">
        <f t="shared" ref="AN3:AN12" si="3">AE3/SUM($AC3:$AK3)</f>
        <v>0.2</v>
      </c>
      <c r="AO3" s="21">
        <f t="shared" ref="AO3:AO12" si="4">AF3/SUM($AC3:$AK3)</f>
        <v>0.2</v>
      </c>
      <c r="AP3" s="21">
        <f t="shared" ref="AP3:AP12" si="5">AG3/SUM($AC3:$AK3)</f>
        <v>0.2</v>
      </c>
      <c r="AQ3" s="21">
        <f t="shared" ref="AQ3:AQ12" si="6">AH3/SUM($AC3:$AK3)</f>
        <v>0</v>
      </c>
      <c r="AR3" s="21">
        <f t="shared" ref="AR3:AR12" si="7">AI3/SUM($AC3:$AK3)</f>
        <v>0</v>
      </c>
      <c r="AS3" s="21">
        <f t="shared" ref="AS3:AS12" si="8">AJ3/SUM($AC3:$AK3)</f>
        <v>0</v>
      </c>
      <c r="AT3" s="22">
        <f t="shared" ref="AT3:AT12" si="9">AK3/SUM($AC3:$AK3)</f>
        <v>0</v>
      </c>
      <c r="AU3" s="32">
        <f t="shared" ref="AU3:AU12" si="10">IF(AL3=0,0,-(AL3*LOG(AL3,2)))</f>
        <v>0.46438561897747244</v>
      </c>
      <c r="AV3" s="13">
        <f t="shared" ref="AV3:AV12" si="11">IF(AM3=0,0,-(AM3*LOG(AM3,2)))</f>
        <v>0.46438561897747244</v>
      </c>
      <c r="AW3" s="13">
        <f t="shared" ref="AW3:AW12" si="12">IF(AN3=0,0,-(AN3*LOG(AN3,2)))</f>
        <v>0.46438561897747244</v>
      </c>
      <c r="AX3" s="13">
        <f t="shared" ref="AX3:AX12" si="13">IF(AO3=0,0,-(AO3*LOG(AO3,2)))</f>
        <v>0.46438561897747244</v>
      </c>
      <c r="AY3" s="13">
        <f t="shared" ref="AY3:AY12" si="14">IF(AP3=0,0,-(AP3*LOG(AP3,2)))</f>
        <v>0.46438561897747244</v>
      </c>
      <c r="AZ3" s="13">
        <f t="shared" ref="AZ3:AZ12" si="15">IF(AQ3=0,0,-(AQ3*LOG(AQ3,2)))</f>
        <v>0</v>
      </c>
      <c r="BA3" s="13">
        <f t="shared" ref="BA3:BA12" si="16">IF(AR3=0,0,-(AR3*LOG(AR3,2)))</f>
        <v>0</v>
      </c>
      <c r="BB3" s="13">
        <f t="shared" ref="BB3:BB12" si="17">IF(AS3=0,0,-(AS3*LOG(AS3,2)))</f>
        <v>0</v>
      </c>
      <c r="BC3" s="33">
        <f t="shared" ref="BC3:BC12" si="18">IF(AT3=0,0,-(AT3*LOG(AT3,2)))</f>
        <v>0</v>
      </c>
      <c r="BD3" s="32">
        <f>SUM(AU3:BC3)</f>
        <v>2.3219280948873622</v>
      </c>
      <c r="BE3" s="14">
        <f>IF(X3="A",AU3,IF(X3="B",AV3,IF(X3="C",AW3,IF(X3="D",AX3,IF(X3="E",AY3,IF(X3="F",AZ3,IF(X3="G",BA3,IF(X3="H",BB3,BC3))))))))</f>
        <v>0.46438561897747244</v>
      </c>
      <c r="BF3" s="39">
        <f>BD3-BE3</f>
        <v>1.8575424759098897</v>
      </c>
      <c r="BG3" s="41">
        <f>(1-AB3)*POWER(2,(-BF3/(AB3-1)))</f>
        <v>3.9999999999999996</v>
      </c>
      <c r="BH3" s="39">
        <f t="shared" ref="BH3:BH12" si="19">BG3/Y3</f>
        <v>0.99999999999999989</v>
      </c>
      <c r="BI3" s="43">
        <f>SQRT(SUMSQ(AC3:AK3)-AA3^2)/(SUM(AC3:AK3)-AA3)</f>
        <v>0.5</v>
      </c>
      <c r="BJ3" s="43">
        <f>(SQRT(Y3)/(SQRT(Y3)-1))*(BI3-1/SQRT(Y3))</f>
        <v>0</v>
      </c>
      <c r="BK3" s="56" t="str">
        <f>IF(OR(AB3="",BH3=""),"",IF(AB3&gt;=0.5,IF(BH3&gt;=0.5,"Q1","Q4"),IF(BH3&gt;=0.5,"Q2","Q3")))</f>
        <v>Q2</v>
      </c>
      <c r="BL3" s="57">
        <v>1</v>
      </c>
      <c r="BM3" s="57">
        <v>0</v>
      </c>
      <c r="BN3" s="56" t="b">
        <f>IF(AND(ROUND(BH3,2)=BL3,ROUND(BJ3,2)=BM3),TRUE(),FALSE())</f>
        <v>1</v>
      </c>
    </row>
    <row r="4" spans="1:66" ht="20" customHeight="1" x14ac:dyDescent="0.2">
      <c r="A4" s="7" t="s">
        <v>11</v>
      </c>
      <c r="B4" s="4">
        <v>2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1</v>
      </c>
      <c r="I4" s="11" t="s">
        <v>1</v>
      </c>
      <c r="J4" s="11" t="s">
        <v>1</v>
      </c>
      <c r="K4" s="11" t="s">
        <v>1</v>
      </c>
      <c r="L4" s="11" t="s">
        <v>1</v>
      </c>
      <c r="M4" s="11" t="s">
        <v>2</v>
      </c>
      <c r="N4" s="11" t="s">
        <v>2</v>
      </c>
      <c r="O4" s="11" t="s">
        <v>2</v>
      </c>
      <c r="P4" s="11" t="s">
        <v>2</v>
      </c>
      <c r="Q4" s="11" t="s">
        <v>2</v>
      </c>
      <c r="R4" s="11" t="s">
        <v>3</v>
      </c>
      <c r="S4" s="11" t="s">
        <v>3</v>
      </c>
      <c r="T4" s="11" t="s">
        <v>3</v>
      </c>
      <c r="U4" s="11" t="s">
        <v>3</v>
      </c>
      <c r="V4" s="11" t="s">
        <v>3</v>
      </c>
      <c r="X4" s="5" t="s">
        <v>0</v>
      </c>
      <c r="Y4" s="5">
        <v>4</v>
      </c>
      <c r="Z4">
        <f t="shared" ref="Z4:Z12" si="20">B4</f>
        <v>2</v>
      </c>
      <c r="AA4" s="6">
        <f t="shared" ref="AA4:AA12" si="21">COUNTIF(C4:V4,X4)</f>
        <v>5</v>
      </c>
      <c r="AB4" s="8">
        <f t="shared" ref="AB4:AB12" si="22">AA4/(COUNT($C$2:$V$2))</f>
        <v>0.25</v>
      </c>
      <c r="AC4" s="26">
        <f t="shared" ref="AC4:AC12" si="23">COUNTIF($C4:$V4,AC$2)</f>
        <v>5</v>
      </c>
      <c r="AD4" s="27">
        <f t="shared" si="0"/>
        <v>5</v>
      </c>
      <c r="AE4" s="27">
        <f t="shared" si="0"/>
        <v>5</v>
      </c>
      <c r="AF4" s="27">
        <f t="shared" si="0"/>
        <v>5</v>
      </c>
      <c r="AG4" s="27">
        <f t="shared" si="0"/>
        <v>0</v>
      </c>
      <c r="AH4" s="27">
        <f t="shared" si="0"/>
        <v>0</v>
      </c>
      <c r="AI4" s="27">
        <f t="shared" si="0"/>
        <v>0</v>
      </c>
      <c r="AJ4" s="27">
        <f t="shared" si="0"/>
        <v>0</v>
      </c>
      <c r="AK4" s="28">
        <f t="shared" si="0"/>
        <v>0</v>
      </c>
      <c r="AL4" s="20">
        <f t="shared" si="1"/>
        <v>0.25</v>
      </c>
      <c r="AM4" s="21">
        <f t="shared" si="2"/>
        <v>0.25</v>
      </c>
      <c r="AN4" s="21">
        <f t="shared" si="3"/>
        <v>0.25</v>
      </c>
      <c r="AO4" s="21">
        <f t="shared" si="4"/>
        <v>0.25</v>
      </c>
      <c r="AP4" s="21">
        <f t="shared" si="5"/>
        <v>0</v>
      </c>
      <c r="AQ4" s="21">
        <f t="shared" si="6"/>
        <v>0</v>
      </c>
      <c r="AR4" s="21">
        <f t="shared" si="7"/>
        <v>0</v>
      </c>
      <c r="AS4" s="21">
        <f t="shared" si="8"/>
        <v>0</v>
      </c>
      <c r="AT4" s="22">
        <f t="shared" si="9"/>
        <v>0</v>
      </c>
      <c r="AU4" s="32">
        <f t="shared" si="10"/>
        <v>0.5</v>
      </c>
      <c r="AV4" s="13">
        <f t="shared" si="11"/>
        <v>0.5</v>
      </c>
      <c r="AW4" s="13">
        <f t="shared" si="12"/>
        <v>0.5</v>
      </c>
      <c r="AX4" s="13">
        <f t="shared" si="13"/>
        <v>0.5</v>
      </c>
      <c r="AY4" s="13">
        <f t="shared" si="14"/>
        <v>0</v>
      </c>
      <c r="AZ4" s="13">
        <f t="shared" si="15"/>
        <v>0</v>
      </c>
      <c r="BA4" s="13">
        <f t="shared" si="16"/>
        <v>0</v>
      </c>
      <c r="BB4" s="13">
        <f t="shared" si="17"/>
        <v>0</v>
      </c>
      <c r="BC4" s="33">
        <f t="shared" si="18"/>
        <v>0</v>
      </c>
      <c r="BD4" s="32">
        <f t="shared" ref="BD4:BD12" si="24">SUM(AU4:BC4)</f>
        <v>2</v>
      </c>
      <c r="BE4" s="14">
        <f t="shared" ref="BE4:BE12" si="25">IF(X4="A",AU4,IF(X4="B",AV4,IF(X4="C",AW4,IF(X4="D",AX4,IF(X4="E",AY4,IF(X4="F",AZ4,IF(X4="G",BA4,IF(X4="H",BB4,BC4))))))))</f>
        <v>0.5</v>
      </c>
      <c r="BF4" s="39">
        <f t="shared" ref="BF4:BF12" si="26">BD4-BE4</f>
        <v>1.5</v>
      </c>
      <c r="BG4" s="41">
        <f t="shared" ref="BG4:BG12" si="27">(1-AB4)*POWER(2,(-BF4/(AB4-1)))</f>
        <v>3</v>
      </c>
      <c r="BH4" s="39">
        <f t="shared" si="19"/>
        <v>0.75</v>
      </c>
      <c r="BI4" s="43">
        <f t="shared" ref="BI4:BI12" si="28">SQRT(SUMSQ(AC4:AK4)-AA4^2)/(SUM(AC4:AK4)-AA4)</f>
        <v>0.57735026918962584</v>
      </c>
      <c r="BJ4" s="43">
        <f t="shared" ref="BJ4:BJ12" si="29">(SQRT(Y4)/(SQRT(Y4)-1))*(BI4-1/SQRT(Y4))</f>
        <v>0.15470053837925168</v>
      </c>
      <c r="BK4" s="56" t="str">
        <f t="shared" ref="BK4:BK12" si="30">IF(OR(AB4="",BH4=""),"",IF(AB4&gt;=0.5,IF(BH4&gt;=0.5,"Q1","Q4"),IF(BH4&gt;=0.5,"Q2","Q3")))</f>
        <v>Q2</v>
      </c>
      <c r="BL4" s="57">
        <v>0.75</v>
      </c>
      <c r="BM4" s="57">
        <v>0.15</v>
      </c>
      <c r="BN4" s="56" t="b">
        <f t="shared" ref="BN4:BN12" si="31">IF(AND(ROUND(BH4,2)=BL4,ROUND(BJ4,2)=BM4),TRUE(),FALSE())</f>
        <v>1</v>
      </c>
    </row>
    <row r="5" spans="1:66" ht="20" customHeight="1" x14ac:dyDescent="0.2">
      <c r="A5" s="7" t="s">
        <v>11</v>
      </c>
      <c r="B5" s="4">
        <v>3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1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3</v>
      </c>
      <c r="T5" s="2" t="s">
        <v>3</v>
      </c>
      <c r="U5" s="2" t="s">
        <v>3</v>
      </c>
      <c r="V5" s="2" t="s">
        <v>3</v>
      </c>
      <c r="X5" s="5" t="s">
        <v>0</v>
      </c>
      <c r="Y5" s="5">
        <v>4</v>
      </c>
      <c r="Z5">
        <f t="shared" si="20"/>
        <v>3</v>
      </c>
      <c r="AA5" s="6">
        <f t="shared" si="21"/>
        <v>9</v>
      </c>
      <c r="AB5" s="8">
        <f t="shared" si="22"/>
        <v>0.45</v>
      </c>
      <c r="AC5" s="26">
        <f t="shared" si="23"/>
        <v>9</v>
      </c>
      <c r="AD5" s="27">
        <f>COUNTIF($C5:$V5,AD$2)</f>
        <v>1</v>
      </c>
      <c r="AE5" s="27">
        <f t="shared" si="0"/>
        <v>6</v>
      </c>
      <c r="AF5" s="27">
        <f t="shared" si="0"/>
        <v>4</v>
      </c>
      <c r="AG5" s="27">
        <f t="shared" si="0"/>
        <v>0</v>
      </c>
      <c r="AH5" s="27">
        <f t="shared" si="0"/>
        <v>0</v>
      </c>
      <c r="AI5" s="27">
        <f t="shared" si="0"/>
        <v>0</v>
      </c>
      <c r="AJ5" s="27">
        <f t="shared" si="0"/>
        <v>0</v>
      </c>
      <c r="AK5" s="28">
        <f t="shared" si="0"/>
        <v>0</v>
      </c>
      <c r="AL5" s="20">
        <f t="shared" si="1"/>
        <v>0.45</v>
      </c>
      <c r="AM5" s="21">
        <f t="shared" si="2"/>
        <v>0.05</v>
      </c>
      <c r="AN5" s="21">
        <f t="shared" si="3"/>
        <v>0.3</v>
      </c>
      <c r="AO5" s="21">
        <f t="shared" si="4"/>
        <v>0.2</v>
      </c>
      <c r="AP5" s="21">
        <f t="shared" si="5"/>
        <v>0</v>
      </c>
      <c r="AQ5" s="21">
        <f t="shared" si="6"/>
        <v>0</v>
      </c>
      <c r="AR5" s="21">
        <f t="shared" si="7"/>
        <v>0</v>
      </c>
      <c r="AS5" s="21">
        <f t="shared" si="8"/>
        <v>0</v>
      </c>
      <c r="AT5" s="22">
        <f t="shared" si="9"/>
        <v>0</v>
      </c>
      <c r="AU5" s="32">
        <f t="shared" si="10"/>
        <v>0.51840139205027258</v>
      </c>
      <c r="AV5" s="13">
        <f t="shared" si="11"/>
        <v>0.21609640474436814</v>
      </c>
      <c r="AW5" s="13">
        <f t="shared" si="12"/>
        <v>0.52108967824986185</v>
      </c>
      <c r="AX5" s="13">
        <f t="shared" si="13"/>
        <v>0.46438561897747244</v>
      </c>
      <c r="AY5" s="13">
        <f t="shared" si="14"/>
        <v>0</v>
      </c>
      <c r="AZ5" s="13">
        <f t="shared" si="15"/>
        <v>0</v>
      </c>
      <c r="BA5" s="13">
        <f t="shared" si="16"/>
        <v>0</v>
      </c>
      <c r="BB5" s="13">
        <f t="shared" si="17"/>
        <v>0</v>
      </c>
      <c r="BC5" s="33">
        <f t="shared" si="18"/>
        <v>0</v>
      </c>
      <c r="BD5" s="32">
        <f t="shared" si="24"/>
        <v>1.7199730940219751</v>
      </c>
      <c r="BE5" s="14">
        <f t="shared" si="25"/>
        <v>0.51840139205027258</v>
      </c>
      <c r="BF5" s="39">
        <f t="shared" si="26"/>
        <v>1.2015717019717025</v>
      </c>
      <c r="BG5" s="41">
        <f t="shared" si="27"/>
        <v>2.500435422077365</v>
      </c>
      <c r="BH5" s="39">
        <f t="shared" si="19"/>
        <v>0.62510885551934126</v>
      </c>
      <c r="BI5" s="43">
        <f t="shared" si="28"/>
        <v>0.66182817175277442</v>
      </c>
      <c r="BJ5" s="43">
        <f t="shared" si="29"/>
        <v>0.32365634350554884</v>
      </c>
      <c r="BK5" s="56" t="str">
        <f t="shared" si="30"/>
        <v>Q2</v>
      </c>
      <c r="BL5" s="57">
        <v>0.63</v>
      </c>
      <c r="BM5" s="57">
        <v>0.32</v>
      </c>
      <c r="BN5" s="56" t="b">
        <f t="shared" si="31"/>
        <v>1</v>
      </c>
    </row>
    <row r="6" spans="1:66" ht="20" customHeight="1" x14ac:dyDescent="0.2">
      <c r="A6" s="7" t="s">
        <v>11</v>
      </c>
      <c r="B6" s="4">
        <v>4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1</v>
      </c>
      <c r="K6" s="11" t="s">
        <v>1</v>
      </c>
      <c r="L6" s="11" t="s">
        <v>1</v>
      </c>
      <c r="M6" s="11" t="s">
        <v>1</v>
      </c>
      <c r="N6" s="11" t="s">
        <v>1</v>
      </c>
      <c r="O6" s="11" t="s">
        <v>1</v>
      </c>
      <c r="P6" s="11" t="s">
        <v>1</v>
      </c>
      <c r="Q6" s="11" t="s">
        <v>1</v>
      </c>
      <c r="R6" s="11" t="s">
        <v>1</v>
      </c>
      <c r="S6" s="11" t="s">
        <v>1</v>
      </c>
      <c r="T6" s="11" t="s">
        <v>2</v>
      </c>
      <c r="U6" s="11" t="s">
        <v>3</v>
      </c>
      <c r="V6" s="11" t="s">
        <v>4</v>
      </c>
      <c r="X6" s="5" t="s">
        <v>0</v>
      </c>
      <c r="Y6" s="5">
        <v>4</v>
      </c>
      <c r="Z6">
        <f t="shared" si="20"/>
        <v>4</v>
      </c>
      <c r="AA6" s="6">
        <f t="shared" si="21"/>
        <v>7</v>
      </c>
      <c r="AB6" s="8">
        <f t="shared" si="22"/>
        <v>0.35</v>
      </c>
      <c r="AC6" s="26">
        <f t="shared" si="23"/>
        <v>7</v>
      </c>
      <c r="AD6" s="27">
        <f t="shared" si="0"/>
        <v>10</v>
      </c>
      <c r="AE6" s="27">
        <f t="shared" si="0"/>
        <v>1</v>
      </c>
      <c r="AF6" s="27">
        <f t="shared" si="0"/>
        <v>1</v>
      </c>
      <c r="AG6" s="27">
        <f t="shared" si="0"/>
        <v>1</v>
      </c>
      <c r="AH6" s="27">
        <f t="shared" si="0"/>
        <v>0</v>
      </c>
      <c r="AI6" s="27">
        <f t="shared" si="0"/>
        <v>0</v>
      </c>
      <c r="AJ6" s="27">
        <f t="shared" si="0"/>
        <v>0</v>
      </c>
      <c r="AK6" s="28">
        <f t="shared" si="0"/>
        <v>0</v>
      </c>
      <c r="AL6" s="20">
        <f t="shared" si="1"/>
        <v>0.35</v>
      </c>
      <c r="AM6" s="21">
        <f t="shared" si="2"/>
        <v>0.5</v>
      </c>
      <c r="AN6" s="21">
        <f t="shared" si="3"/>
        <v>0.05</v>
      </c>
      <c r="AO6" s="21">
        <f t="shared" si="4"/>
        <v>0.05</v>
      </c>
      <c r="AP6" s="21">
        <f t="shared" si="5"/>
        <v>0.05</v>
      </c>
      <c r="AQ6" s="21">
        <f t="shared" si="6"/>
        <v>0</v>
      </c>
      <c r="AR6" s="21">
        <f t="shared" si="7"/>
        <v>0</v>
      </c>
      <c r="AS6" s="21">
        <f t="shared" si="8"/>
        <v>0</v>
      </c>
      <c r="AT6" s="22">
        <f t="shared" si="9"/>
        <v>0</v>
      </c>
      <c r="AU6" s="32">
        <f t="shared" si="10"/>
        <v>0.53010061049041546</v>
      </c>
      <c r="AV6" s="13">
        <f t="shared" si="11"/>
        <v>0.5</v>
      </c>
      <c r="AW6" s="13">
        <f t="shared" si="12"/>
        <v>0.21609640474436814</v>
      </c>
      <c r="AX6" s="13">
        <f t="shared" si="13"/>
        <v>0.21609640474436814</v>
      </c>
      <c r="AY6" s="13">
        <f t="shared" si="14"/>
        <v>0.21609640474436814</v>
      </c>
      <c r="AZ6" s="13">
        <f t="shared" si="15"/>
        <v>0</v>
      </c>
      <c r="BA6" s="13">
        <f t="shared" si="16"/>
        <v>0</v>
      </c>
      <c r="BB6" s="13">
        <f t="shared" si="17"/>
        <v>0</v>
      </c>
      <c r="BC6" s="33">
        <f t="shared" si="18"/>
        <v>0</v>
      </c>
      <c r="BD6" s="32">
        <f t="shared" si="24"/>
        <v>1.6783898247235198</v>
      </c>
      <c r="BE6" s="14">
        <f t="shared" si="25"/>
        <v>0.53010061049041546</v>
      </c>
      <c r="BF6" s="39">
        <f t="shared" si="26"/>
        <v>1.1482892142331043</v>
      </c>
      <c r="BG6" s="41">
        <f t="shared" si="27"/>
        <v>2.2116305638083653</v>
      </c>
      <c r="BH6" s="39">
        <f t="shared" si="19"/>
        <v>0.55290764095209133</v>
      </c>
      <c r="BI6" s="43">
        <f t="shared" si="28"/>
        <v>0.78068396654555527</v>
      </c>
      <c r="BJ6" s="43">
        <f t="shared" si="29"/>
        <v>0.56136793309111055</v>
      </c>
      <c r="BK6" s="56" t="str">
        <f t="shared" si="30"/>
        <v>Q2</v>
      </c>
      <c r="BL6" s="57">
        <v>0.55000000000000004</v>
      </c>
      <c r="BM6" s="57">
        <v>0.56000000000000005</v>
      </c>
      <c r="BN6" s="56" t="b">
        <f t="shared" si="31"/>
        <v>1</v>
      </c>
    </row>
    <row r="7" spans="1:66" ht="20" customHeight="1" x14ac:dyDescent="0.2">
      <c r="A7" s="7" t="s">
        <v>11</v>
      </c>
      <c r="B7" s="4">
        <v>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1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2" t="s">
        <v>1</v>
      </c>
      <c r="S7" s="2" t="s">
        <v>1</v>
      </c>
      <c r="T7" s="2" t="s">
        <v>2</v>
      </c>
      <c r="U7" s="2" t="s">
        <v>3</v>
      </c>
      <c r="V7" s="2" t="s">
        <v>4</v>
      </c>
      <c r="X7" s="5" t="s">
        <v>0</v>
      </c>
      <c r="Y7" s="5">
        <v>4</v>
      </c>
      <c r="Z7">
        <f t="shared" si="20"/>
        <v>5</v>
      </c>
      <c r="AA7" s="6">
        <f t="shared" si="21"/>
        <v>6</v>
      </c>
      <c r="AB7" s="8">
        <f t="shared" si="22"/>
        <v>0.3</v>
      </c>
      <c r="AC7" s="26">
        <f t="shared" si="23"/>
        <v>6</v>
      </c>
      <c r="AD7" s="27">
        <f t="shared" si="0"/>
        <v>11</v>
      </c>
      <c r="AE7" s="27">
        <f t="shared" si="0"/>
        <v>1</v>
      </c>
      <c r="AF7" s="27">
        <f t="shared" si="0"/>
        <v>1</v>
      </c>
      <c r="AG7" s="27">
        <f t="shared" si="0"/>
        <v>1</v>
      </c>
      <c r="AH7" s="27">
        <f t="shared" si="0"/>
        <v>0</v>
      </c>
      <c r="AI7" s="27">
        <f t="shared" si="0"/>
        <v>0</v>
      </c>
      <c r="AJ7" s="27">
        <f t="shared" si="0"/>
        <v>0</v>
      </c>
      <c r="AK7" s="28">
        <f t="shared" si="0"/>
        <v>0</v>
      </c>
      <c r="AL7" s="20">
        <f t="shared" si="1"/>
        <v>0.3</v>
      </c>
      <c r="AM7" s="21">
        <f t="shared" si="2"/>
        <v>0.55000000000000004</v>
      </c>
      <c r="AN7" s="21">
        <f t="shared" si="3"/>
        <v>0.05</v>
      </c>
      <c r="AO7" s="21">
        <f t="shared" si="4"/>
        <v>0.05</v>
      </c>
      <c r="AP7" s="21">
        <f t="shared" si="5"/>
        <v>0.05</v>
      </c>
      <c r="AQ7" s="21">
        <f t="shared" si="6"/>
        <v>0</v>
      </c>
      <c r="AR7" s="21">
        <f t="shared" si="7"/>
        <v>0</v>
      </c>
      <c r="AS7" s="21">
        <f t="shared" si="8"/>
        <v>0</v>
      </c>
      <c r="AT7" s="22">
        <f t="shared" si="9"/>
        <v>0</v>
      </c>
      <c r="AU7" s="32">
        <f t="shared" si="10"/>
        <v>0.52108967824986185</v>
      </c>
      <c r="AV7" s="13">
        <f t="shared" si="11"/>
        <v>0.47437306193753581</v>
      </c>
      <c r="AW7" s="13">
        <f t="shared" si="12"/>
        <v>0.21609640474436814</v>
      </c>
      <c r="AX7" s="13">
        <f t="shared" si="13"/>
        <v>0.21609640474436814</v>
      </c>
      <c r="AY7" s="13">
        <f t="shared" si="14"/>
        <v>0.21609640474436814</v>
      </c>
      <c r="AZ7" s="13">
        <f t="shared" si="15"/>
        <v>0</v>
      </c>
      <c r="BA7" s="13">
        <f t="shared" si="16"/>
        <v>0</v>
      </c>
      <c r="BB7" s="13">
        <f t="shared" si="17"/>
        <v>0</v>
      </c>
      <c r="BC7" s="33">
        <f t="shared" si="18"/>
        <v>0</v>
      </c>
      <c r="BD7" s="32">
        <f t="shared" si="24"/>
        <v>1.6437519544205019</v>
      </c>
      <c r="BE7" s="14">
        <f t="shared" si="25"/>
        <v>0.52108967824986185</v>
      </c>
      <c r="BF7" s="39">
        <f t="shared" si="26"/>
        <v>1.1226622761706402</v>
      </c>
      <c r="BG7" s="41">
        <f t="shared" si="27"/>
        <v>2.1276046259282637</v>
      </c>
      <c r="BH7" s="39">
        <f t="shared" si="19"/>
        <v>0.53190115648206593</v>
      </c>
      <c r="BI7" s="43">
        <f t="shared" si="28"/>
        <v>0.79539490897571741</v>
      </c>
      <c r="BJ7" s="43">
        <f t="shared" si="29"/>
        <v>0.59078981795143481</v>
      </c>
      <c r="BK7" s="56" t="str">
        <f t="shared" si="30"/>
        <v>Q2</v>
      </c>
      <c r="BL7" s="57">
        <v>0.53</v>
      </c>
      <c r="BM7" s="57">
        <v>0.59</v>
      </c>
      <c r="BN7" s="56" t="b">
        <f t="shared" si="31"/>
        <v>1</v>
      </c>
    </row>
    <row r="8" spans="1:66" ht="20" customHeight="1" x14ac:dyDescent="0.2">
      <c r="A8" s="7" t="s">
        <v>11</v>
      </c>
      <c r="B8" s="4">
        <v>6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  <c r="L8" s="11" t="s">
        <v>0</v>
      </c>
      <c r="M8" s="11" t="s">
        <v>1</v>
      </c>
      <c r="N8" s="11" t="s">
        <v>1</v>
      </c>
      <c r="O8" s="11" t="s">
        <v>1</v>
      </c>
      <c r="P8" s="11" t="s">
        <v>1</v>
      </c>
      <c r="Q8" s="11" t="s">
        <v>1</v>
      </c>
      <c r="R8" s="11" t="s">
        <v>2</v>
      </c>
      <c r="S8" s="11" t="s">
        <v>2</v>
      </c>
      <c r="T8" s="11" t="s">
        <v>2</v>
      </c>
      <c r="U8" s="11" t="s">
        <v>2</v>
      </c>
      <c r="V8" s="11" t="s">
        <v>2</v>
      </c>
      <c r="X8" s="5" t="s">
        <v>0</v>
      </c>
      <c r="Y8" s="5">
        <v>4</v>
      </c>
      <c r="Z8">
        <f t="shared" si="20"/>
        <v>6</v>
      </c>
      <c r="AA8" s="6">
        <f t="shared" si="21"/>
        <v>10</v>
      </c>
      <c r="AB8" s="8">
        <f t="shared" si="22"/>
        <v>0.5</v>
      </c>
      <c r="AC8" s="26">
        <f t="shared" si="23"/>
        <v>10</v>
      </c>
      <c r="AD8" s="27">
        <f t="shared" si="0"/>
        <v>5</v>
      </c>
      <c r="AE8" s="27">
        <f t="shared" si="0"/>
        <v>5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8">
        <f t="shared" si="0"/>
        <v>0</v>
      </c>
      <c r="AL8" s="20">
        <f t="shared" si="1"/>
        <v>0.5</v>
      </c>
      <c r="AM8" s="21">
        <f t="shared" si="2"/>
        <v>0.25</v>
      </c>
      <c r="AN8" s="21">
        <f t="shared" si="3"/>
        <v>0.25</v>
      </c>
      <c r="AO8" s="21">
        <f t="shared" si="4"/>
        <v>0</v>
      </c>
      <c r="AP8" s="21">
        <f t="shared" si="5"/>
        <v>0</v>
      </c>
      <c r="AQ8" s="21">
        <f t="shared" si="6"/>
        <v>0</v>
      </c>
      <c r="AR8" s="21">
        <f t="shared" si="7"/>
        <v>0</v>
      </c>
      <c r="AS8" s="21">
        <f t="shared" si="8"/>
        <v>0</v>
      </c>
      <c r="AT8" s="22">
        <f t="shared" si="9"/>
        <v>0</v>
      </c>
      <c r="AU8" s="32">
        <f t="shared" si="10"/>
        <v>0.5</v>
      </c>
      <c r="AV8" s="13">
        <f t="shared" si="11"/>
        <v>0.5</v>
      </c>
      <c r="AW8" s="13">
        <f t="shared" si="12"/>
        <v>0.5</v>
      </c>
      <c r="AX8" s="13">
        <f t="shared" si="13"/>
        <v>0</v>
      </c>
      <c r="AY8" s="13">
        <f t="shared" si="14"/>
        <v>0</v>
      </c>
      <c r="AZ8" s="13">
        <f t="shared" si="15"/>
        <v>0</v>
      </c>
      <c r="BA8" s="13">
        <f t="shared" si="16"/>
        <v>0</v>
      </c>
      <c r="BB8" s="13">
        <f t="shared" si="17"/>
        <v>0</v>
      </c>
      <c r="BC8" s="33">
        <f t="shared" si="18"/>
        <v>0</v>
      </c>
      <c r="BD8" s="32">
        <f t="shared" si="24"/>
        <v>1.5</v>
      </c>
      <c r="BE8" s="14">
        <f t="shared" si="25"/>
        <v>0.5</v>
      </c>
      <c r="BF8" s="39">
        <f t="shared" si="26"/>
        <v>1</v>
      </c>
      <c r="BG8" s="41">
        <f t="shared" si="27"/>
        <v>2</v>
      </c>
      <c r="BH8" s="39">
        <f t="shared" si="19"/>
        <v>0.5</v>
      </c>
      <c r="BI8" s="43">
        <f t="shared" si="28"/>
        <v>0.70710678118654757</v>
      </c>
      <c r="BJ8" s="43">
        <f t="shared" si="29"/>
        <v>0.41421356237309515</v>
      </c>
      <c r="BK8" s="56" t="str">
        <f t="shared" si="30"/>
        <v>Q1</v>
      </c>
      <c r="BL8" s="57">
        <v>0.5</v>
      </c>
      <c r="BM8" s="57">
        <v>0.41</v>
      </c>
      <c r="BN8" s="56" t="b">
        <f t="shared" si="31"/>
        <v>1</v>
      </c>
    </row>
    <row r="9" spans="1:66" ht="20" customHeight="1" x14ac:dyDescent="0.2">
      <c r="A9" s="7" t="s">
        <v>11</v>
      </c>
      <c r="B9" s="4">
        <v>7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2</v>
      </c>
      <c r="P9" s="2" t="s">
        <v>2</v>
      </c>
      <c r="Q9" s="2" t="s">
        <v>2</v>
      </c>
      <c r="R9" s="2" t="s">
        <v>2</v>
      </c>
      <c r="S9" s="2" t="s">
        <v>3</v>
      </c>
      <c r="T9" s="2" t="s">
        <v>3</v>
      </c>
      <c r="U9" s="2" t="s">
        <v>3</v>
      </c>
      <c r="V9" s="2" t="s">
        <v>3</v>
      </c>
      <c r="X9" s="5" t="s">
        <v>0</v>
      </c>
      <c r="Y9" s="5">
        <v>4</v>
      </c>
      <c r="Z9">
        <f t="shared" si="20"/>
        <v>7</v>
      </c>
      <c r="AA9" s="6">
        <f t="shared" si="21"/>
        <v>12</v>
      </c>
      <c r="AB9" s="8">
        <f t="shared" si="22"/>
        <v>0.6</v>
      </c>
      <c r="AC9" s="26">
        <f t="shared" si="23"/>
        <v>12</v>
      </c>
      <c r="AD9" s="27">
        <f t="shared" si="0"/>
        <v>0</v>
      </c>
      <c r="AE9" s="27">
        <f t="shared" si="0"/>
        <v>4</v>
      </c>
      <c r="AF9" s="27">
        <f t="shared" si="0"/>
        <v>4</v>
      </c>
      <c r="AG9" s="27">
        <f t="shared" si="0"/>
        <v>0</v>
      </c>
      <c r="AH9" s="27">
        <f t="shared" si="0"/>
        <v>0</v>
      </c>
      <c r="AI9" s="27">
        <f t="shared" si="0"/>
        <v>0</v>
      </c>
      <c r="AJ9" s="27">
        <f t="shared" si="0"/>
        <v>0</v>
      </c>
      <c r="AK9" s="28">
        <f t="shared" si="0"/>
        <v>0</v>
      </c>
      <c r="AL9" s="20">
        <f t="shared" si="1"/>
        <v>0.6</v>
      </c>
      <c r="AM9" s="21">
        <f t="shared" si="2"/>
        <v>0</v>
      </c>
      <c r="AN9" s="21">
        <f t="shared" si="3"/>
        <v>0.2</v>
      </c>
      <c r="AO9" s="21">
        <f t="shared" si="4"/>
        <v>0.2</v>
      </c>
      <c r="AP9" s="21">
        <f t="shared" si="5"/>
        <v>0</v>
      </c>
      <c r="AQ9" s="21">
        <f t="shared" si="6"/>
        <v>0</v>
      </c>
      <c r="AR9" s="21">
        <f t="shared" si="7"/>
        <v>0</v>
      </c>
      <c r="AS9" s="21">
        <f t="shared" si="8"/>
        <v>0</v>
      </c>
      <c r="AT9" s="22">
        <f t="shared" si="9"/>
        <v>0</v>
      </c>
      <c r="AU9" s="32">
        <f t="shared" si="10"/>
        <v>0.44217935649972373</v>
      </c>
      <c r="AV9" s="13">
        <f t="shared" si="11"/>
        <v>0</v>
      </c>
      <c r="AW9" s="13">
        <f t="shared" si="12"/>
        <v>0.46438561897747244</v>
      </c>
      <c r="AX9" s="13">
        <f t="shared" si="13"/>
        <v>0.46438561897747244</v>
      </c>
      <c r="AY9" s="13">
        <f t="shared" si="14"/>
        <v>0</v>
      </c>
      <c r="AZ9" s="13">
        <f t="shared" si="15"/>
        <v>0</v>
      </c>
      <c r="BA9" s="13">
        <f t="shared" si="16"/>
        <v>0</v>
      </c>
      <c r="BB9" s="13">
        <f t="shared" si="17"/>
        <v>0</v>
      </c>
      <c r="BC9" s="33">
        <f t="shared" si="18"/>
        <v>0</v>
      </c>
      <c r="BD9" s="32">
        <f t="shared" si="24"/>
        <v>1.3709505944546687</v>
      </c>
      <c r="BE9" s="14">
        <f t="shared" si="25"/>
        <v>0.44217935649972373</v>
      </c>
      <c r="BF9" s="39">
        <f t="shared" si="26"/>
        <v>0.92877123795494498</v>
      </c>
      <c r="BG9" s="41">
        <f t="shared" si="27"/>
        <v>1.9999999999999998</v>
      </c>
      <c r="BH9" s="39">
        <f t="shared" si="19"/>
        <v>0.49999999999999994</v>
      </c>
      <c r="BI9" s="43">
        <f t="shared" si="28"/>
        <v>0.70710678118654757</v>
      </c>
      <c r="BJ9" s="43">
        <f t="shared" si="29"/>
        <v>0.41421356237309515</v>
      </c>
      <c r="BK9" s="56" t="str">
        <f t="shared" si="30"/>
        <v>Q1</v>
      </c>
      <c r="BL9" s="57">
        <v>0.5</v>
      </c>
      <c r="BM9" s="57">
        <v>0.41</v>
      </c>
      <c r="BN9" s="56" t="b">
        <f t="shared" si="31"/>
        <v>1</v>
      </c>
    </row>
    <row r="10" spans="1:66" ht="20" customHeight="1" x14ac:dyDescent="0.2">
      <c r="A10" s="7" t="s">
        <v>11</v>
      </c>
      <c r="B10" s="4">
        <v>8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2</v>
      </c>
      <c r="L10" s="11" t="s">
        <v>2</v>
      </c>
      <c r="M10" s="11" t="s">
        <v>2</v>
      </c>
      <c r="N10" s="11" t="s">
        <v>2</v>
      </c>
      <c r="O10" s="11" t="s">
        <v>2</v>
      </c>
      <c r="P10" s="11" t="s">
        <v>2</v>
      </c>
      <c r="Q10" s="11" t="s">
        <v>2</v>
      </c>
      <c r="R10" s="11" t="s">
        <v>3</v>
      </c>
      <c r="S10" s="11" t="s">
        <v>3</v>
      </c>
      <c r="T10" s="11" t="s">
        <v>3</v>
      </c>
      <c r="U10" s="11" t="s">
        <v>3</v>
      </c>
      <c r="V10" s="11" t="s">
        <v>3</v>
      </c>
      <c r="X10" s="5" t="s">
        <v>0</v>
      </c>
      <c r="Y10" s="5">
        <v>4</v>
      </c>
      <c r="Z10">
        <f t="shared" si="20"/>
        <v>8</v>
      </c>
      <c r="AA10" s="6">
        <f t="shared" si="21"/>
        <v>8</v>
      </c>
      <c r="AB10" s="8">
        <f t="shared" si="22"/>
        <v>0.4</v>
      </c>
      <c r="AC10" s="26">
        <f t="shared" si="23"/>
        <v>8</v>
      </c>
      <c r="AD10" s="27">
        <f t="shared" si="0"/>
        <v>0</v>
      </c>
      <c r="AE10" s="27">
        <f t="shared" si="0"/>
        <v>7</v>
      </c>
      <c r="AF10" s="27">
        <f t="shared" si="0"/>
        <v>5</v>
      </c>
      <c r="AG10" s="27">
        <f t="shared" si="0"/>
        <v>0</v>
      </c>
      <c r="AH10" s="27">
        <f t="shared" si="0"/>
        <v>0</v>
      </c>
      <c r="AI10" s="27">
        <f t="shared" si="0"/>
        <v>0</v>
      </c>
      <c r="AJ10" s="27">
        <f t="shared" si="0"/>
        <v>0</v>
      </c>
      <c r="AK10" s="28">
        <f t="shared" si="0"/>
        <v>0</v>
      </c>
      <c r="AL10" s="20">
        <f t="shared" si="1"/>
        <v>0.4</v>
      </c>
      <c r="AM10" s="21">
        <f t="shared" si="2"/>
        <v>0</v>
      </c>
      <c r="AN10" s="21">
        <f t="shared" si="3"/>
        <v>0.35</v>
      </c>
      <c r="AO10" s="21">
        <f t="shared" si="4"/>
        <v>0.25</v>
      </c>
      <c r="AP10" s="21">
        <f t="shared" si="5"/>
        <v>0</v>
      </c>
      <c r="AQ10" s="21">
        <f t="shared" si="6"/>
        <v>0</v>
      </c>
      <c r="AR10" s="21">
        <f t="shared" si="7"/>
        <v>0</v>
      </c>
      <c r="AS10" s="21">
        <f t="shared" si="8"/>
        <v>0</v>
      </c>
      <c r="AT10" s="22">
        <f t="shared" si="9"/>
        <v>0</v>
      </c>
      <c r="AU10" s="32">
        <f t="shared" si="10"/>
        <v>0.52877123795494485</v>
      </c>
      <c r="AV10" s="13">
        <f t="shared" si="11"/>
        <v>0</v>
      </c>
      <c r="AW10" s="13">
        <f t="shared" si="12"/>
        <v>0.53010061049041546</v>
      </c>
      <c r="AX10" s="13">
        <f t="shared" si="13"/>
        <v>0.5</v>
      </c>
      <c r="AY10" s="13">
        <f t="shared" si="14"/>
        <v>0</v>
      </c>
      <c r="AZ10" s="13">
        <f t="shared" si="15"/>
        <v>0</v>
      </c>
      <c r="BA10" s="13">
        <f t="shared" si="16"/>
        <v>0</v>
      </c>
      <c r="BB10" s="13">
        <f t="shared" si="17"/>
        <v>0</v>
      </c>
      <c r="BC10" s="33">
        <f t="shared" si="18"/>
        <v>0</v>
      </c>
      <c r="BD10" s="32">
        <f t="shared" si="24"/>
        <v>1.5588718484453603</v>
      </c>
      <c r="BE10" s="14">
        <f t="shared" si="25"/>
        <v>0.52877123795494485</v>
      </c>
      <c r="BF10" s="39">
        <f t="shared" si="26"/>
        <v>1.0301006104904156</v>
      </c>
      <c r="BG10" s="41">
        <f t="shared" si="27"/>
        <v>1.9722859800819117</v>
      </c>
      <c r="BH10" s="39">
        <f t="shared" si="19"/>
        <v>0.49307149502047792</v>
      </c>
      <c r="BI10" s="43">
        <f t="shared" si="28"/>
        <v>0.71686043892021889</v>
      </c>
      <c r="BJ10" s="43">
        <f t="shared" si="29"/>
        <v>0.43372087784043778</v>
      </c>
      <c r="BK10" s="56" t="str">
        <f t="shared" si="30"/>
        <v>Q3</v>
      </c>
      <c r="BL10" s="57">
        <v>0.49</v>
      </c>
      <c r="BM10" s="57">
        <v>0.43</v>
      </c>
      <c r="BN10" s="56" t="b">
        <f t="shared" si="31"/>
        <v>1</v>
      </c>
    </row>
    <row r="11" spans="1:66" ht="20" customHeight="1" x14ac:dyDescent="0.2">
      <c r="A11" s="7" t="s">
        <v>11</v>
      </c>
      <c r="B11" s="4">
        <v>9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2</v>
      </c>
      <c r="N11" s="2" t="s">
        <v>2</v>
      </c>
      <c r="O11" s="2" t="s">
        <v>2</v>
      </c>
      <c r="P11" s="2" t="s">
        <v>2</v>
      </c>
      <c r="Q11" s="2" t="s">
        <v>2</v>
      </c>
      <c r="R11" s="2" t="s">
        <v>2</v>
      </c>
      <c r="S11" s="2" t="s">
        <v>2</v>
      </c>
      <c r="T11" s="2" t="s">
        <v>2</v>
      </c>
      <c r="U11" s="2" t="s">
        <v>2</v>
      </c>
      <c r="V11" s="2" t="s">
        <v>2</v>
      </c>
      <c r="X11" s="5" t="s">
        <v>0</v>
      </c>
      <c r="Y11" s="5">
        <v>4</v>
      </c>
      <c r="Z11">
        <f t="shared" si="20"/>
        <v>9</v>
      </c>
      <c r="AA11" s="6">
        <f t="shared" si="21"/>
        <v>10</v>
      </c>
      <c r="AB11" s="8">
        <f t="shared" si="22"/>
        <v>0.5</v>
      </c>
      <c r="AC11" s="26">
        <f t="shared" si="23"/>
        <v>10</v>
      </c>
      <c r="AD11" s="27">
        <f t="shared" si="0"/>
        <v>0</v>
      </c>
      <c r="AE11" s="27">
        <f t="shared" si="0"/>
        <v>10</v>
      </c>
      <c r="AF11" s="27">
        <f t="shared" si="0"/>
        <v>0</v>
      </c>
      <c r="AG11" s="27">
        <f t="shared" si="0"/>
        <v>0</v>
      </c>
      <c r="AH11" s="27">
        <f t="shared" si="0"/>
        <v>0</v>
      </c>
      <c r="AI11" s="27">
        <f t="shared" si="0"/>
        <v>0</v>
      </c>
      <c r="AJ11" s="27">
        <f t="shared" si="0"/>
        <v>0</v>
      </c>
      <c r="AK11" s="28">
        <f t="shared" si="0"/>
        <v>0</v>
      </c>
      <c r="AL11" s="20">
        <f t="shared" si="1"/>
        <v>0.5</v>
      </c>
      <c r="AM11" s="21">
        <f t="shared" si="2"/>
        <v>0</v>
      </c>
      <c r="AN11" s="21">
        <f t="shared" si="3"/>
        <v>0.5</v>
      </c>
      <c r="AO11" s="21">
        <f t="shared" si="4"/>
        <v>0</v>
      </c>
      <c r="AP11" s="21">
        <f t="shared" si="5"/>
        <v>0</v>
      </c>
      <c r="AQ11" s="21">
        <f t="shared" si="6"/>
        <v>0</v>
      </c>
      <c r="AR11" s="21">
        <f t="shared" si="7"/>
        <v>0</v>
      </c>
      <c r="AS11" s="21">
        <f t="shared" si="8"/>
        <v>0</v>
      </c>
      <c r="AT11" s="22">
        <f t="shared" si="9"/>
        <v>0</v>
      </c>
      <c r="AU11" s="32">
        <f t="shared" si="10"/>
        <v>0.5</v>
      </c>
      <c r="AV11" s="13">
        <f t="shared" si="11"/>
        <v>0</v>
      </c>
      <c r="AW11" s="13">
        <f t="shared" si="12"/>
        <v>0.5</v>
      </c>
      <c r="AX11" s="13">
        <f t="shared" si="13"/>
        <v>0</v>
      </c>
      <c r="AY11" s="13">
        <f t="shared" si="14"/>
        <v>0</v>
      </c>
      <c r="AZ11" s="13">
        <f t="shared" si="15"/>
        <v>0</v>
      </c>
      <c r="BA11" s="13">
        <f t="shared" si="16"/>
        <v>0</v>
      </c>
      <c r="BB11" s="13">
        <f t="shared" si="17"/>
        <v>0</v>
      </c>
      <c r="BC11" s="33">
        <f t="shared" si="18"/>
        <v>0</v>
      </c>
      <c r="BD11" s="32">
        <f t="shared" si="24"/>
        <v>1</v>
      </c>
      <c r="BE11" s="14">
        <f t="shared" si="25"/>
        <v>0.5</v>
      </c>
      <c r="BF11" s="39">
        <f t="shared" si="26"/>
        <v>0.5</v>
      </c>
      <c r="BG11" s="41">
        <f t="shared" si="27"/>
        <v>1</v>
      </c>
      <c r="BH11" s="39">
        <f t="shared" si="19"/>
        <v>0.25</v>
      </c>
      <c r="BI11" s="43">
        <f t="shared" si="28"/>
        <v>1</v>
      </c>
      <c r="BJ11" s="43">
        <f t="shared" si="29"/>
        <v>1</v>
      </c>
      <c r="BK11" s="56" t="str">
        <f t="shared" si="30"/>
        <v>Q4</v>
      </c>
      <c r="BL11" s="57">
        <v>0.25</v>
      </c>
      <c r="BM11" s="57">
        <v>1</v>
      </c>
      <c r="BN11" s="56" t="b">
        <f t="shared" si="31"/>
        <v>1</v>
      </c>
    </row>
    <row r="12" spans="1:66" ht="20" customHeight="1" thickBot="1" x14ac:dyDescent="0.25">
      <c r="A12" s="7" t="s">
        <v>11</v>
      </c>
      <c r="B12" s="4">
        <v>10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  <c r="L12" s="11" t="s">
        <v>0</v>
      </c>
      <c r="M12" s="11" t="s">
        <v>0</v>
      </c>
      <c r="N12" s="11" t="s">
        <v>0</v>
      </c>
      <c r="O12" s="11" t="s">
        <v>0</v>
      </c>
      <c r="P12" s="11" t="s">
        <v>0</v>
      </c>
      <c r="Q12" s="11" t="s">
        <v>0</v>
      </c>
      <c r="R12" s="11" t="s">
        <v>0</v>
      </c>
      <c r="S12" s="11" t="s">
        <v>0</v>
      </c>
      <c r="T12" s="11" t="s">
        <v>0</v>
      </c>
      <c r="U12" s="11" t="s">
        <v>0</v>
      </c>
      <c r="V12" s="11" t="s">
        <v>2</v>
      </c>
      <c r="X12" s="5" t="s">
        <v>0</v>
      </c>
      <c r="Y12" s="5">
        <v>4</v>
      </c>
      <c r="Z12">
        <f t="shared" si="20"/>
        <v>10</v>
      </c>
      <c r="AA12" s="6">
        <f t="shared" si="21"/>
        <v>19</v>
      </c>
      <c r="AB12" s="8">
        <f t="shared" si="22"/>
        <v>0.95</v>
      </c>
      <c r="AC12" s="29">
        <f t="shared" si="23"/>
        <v>19</v>
      </c>
      <c r="AD12" s="30">
        <f t="shared" si="0"/>
        <v>0</v>
      </c>
      <c r="AE12" s="30">
        <f t="shared" si="0"/>
        <v>1</v>
      </c>
      <c r="AF12" s="30">
        <f t="shared" si="0"/>
        <v>0</v>
      </c>
      <c r="AG12" s="30">
        <f t="shared" si="0"/>
        <v>0</v>
      </c>
      <c r="AH12" s="30">
        <f t="shared" si="0"/>
        <v>0</v>
      </c>
      <c r="AI12" s="30">
        <f t="shared" si="0"/>
        <v>0</v>
      </c>
      <c r="AJ12" s="30">
        <f t="shared" si="0"/>
        <v>0</v>
      </c>
      <c r="AK12" s="31">
        <f t="shared" si="0"/>
        <v>0</v>
      </c>
      <c r="AL12" s="23">
        <f t="shared" si="1"/>
        <v>0.95</v>
      </c>
      <c r="AM12" s="24">
        <f t="shared" si="2"/>
        <v>0</v>
      </c>
      <c r="AN12" s="24">
        <f t="shared" si="3"/>
        <v>0.05</v>
      </c>
      <c r="AO12" s="24">
        <f t="shared" si="4"/>
        <v>0</v>
      </c>
      <c r="AP12" s="24">
        <f t="shared" si="5"/>
        <v>0</v>
      </c>
      <c r="AQ12" s="24">
        <f t="shared" si="6"/>
        <v>0</v>
      </c>
      <c r="AR12" s="24">
        <f t="shared" si="7"/>
        <v>0</v>
      </c>
      <c r="AS12" s="24">
        <f t="shared" si="8"/>
        <v>0</v>
      </c>
      <c r="AT12" s="25">
        <f t="shared" si="9"/>
        <v>0</v>
      </c>
      <c r="AU12" s="34">
        <f t="shared" si="10"/>
        <v>7.0300552371588082E-2</v>
      </c>
      <c r="AV12" s="35">
        <f t="shared" si="11"/>
        <v>0</v>
      </c>
      <c r="AW12" s="35">
        <f t="shared" si="12"/>
        <v>0.21609640474436814</v>
      </c>
      <c r="AX12" s="35">
        <f t="shared" si="13"/>
        <v>0</v>
      </c>
      <c r="AY12" s="35">
        <f t="shared" si="14"/>
        <v>0</v>
      </c>
      <c r="AZ12" s="35">
        <f t="shared" si="15"/>
        <v>0</v>
      </c>
      <c r="BA12" s="35">
        <f t="shared" si="16"/>
        <v>0</v>
      </c>
      <c r="BB12" s="35">
        <f t="shared" si="17"/>
        <v>0</v>
      </c>
      <c r="BC12" s="36">
        <f t="shared" si="18"/>
        <v>0</v>
      </c>
      <c r="BD12" s="34">
        <f t="shared" si="24"/>
        <v>0.28639695711595625</v>
      </c>
      <c r="BE12" s="15">
        <f t="shared" si="25"/>
        <v>7.0300552371588082E-2</v>
      </c>
      <c r="BF12" s="40">
        <f t="shared" si="26"/>
        <v>0.21609640474436817</v>
      </c>
      <c r="BG12" s="42">
        <f t="shared" si="27"/>
        <v>0.99999999999999889</v>
      </c>
      <c r="BH12" s="40">
        <f t="shared" si="19"/>
        <v>0.24999999999999972</v>
      </c>
      <c r="BI12" s="43">
        <f t="shared" si="28"/>
        <v>1</v>
      </c>
      <c r="BJ12" s="43">
        <f t="shared" si="29"/>
        <v>1</v>
      </c>
      <c r="BK12" s="56" t="str">
        <f t="shared" si="30"/>
        <v>Q4</v>
      </c>
      <c r="BL12" s="57">
        <v>0.25</v>
      </c>
      <c r="BM12" s="57">
        <v>1</v>
      </c>
      <c r="BN12" s="56" t="b">
        <f t="shared" si="31"/>
        <v>1</v>
      </c>
    </row>
  </sheetData>
  <mergeCells count="3">
    <mergeCell ref="AC1:AK1"/>
    <mergeCell ref="AU1:BC1"/>
    <mergeCell ref="AL1:AT1"/>
  </mergeCells>
  <conditionalFormatting sqref="C3:V12">
    <cfRule type="cellIs" dxfId="7" priority="1" operator="equal">
      <formula>"NO"</formula>
    </cfRule>
  </conditionalFormatting>
  <conditionalFormatting sqref="AA3:AA12">
    <cfRule type="cellIs" dxfId="6" priority="30" operator="equal">
      <formula>"NO"</formula>
    </cfRule>
  </conditionalFormatting>
  <conditionalFormatting sqref="AU1">
    <cfRule type="cellIs" dxfId="5" priority="3" operator="greaterThan">
      <formula>1</formula>
    </cfRule>
  </conditionalFormatting>
  <conditionalFormatting sqref="AU3:BC1048576 BD13:BE1048576">
    <cfRule type="cellIs" dxfId="4" priority="18" operator="greaterThan">
      <formula>1</formula>
    </cfRule>
  </conditionalFormatting>
  <pageMargins left="0.7" right="0.7" top="0.75" bottom="0.75" header="0.3" footer="0.3"/>
  <pageSetup paperSize="9" scale="75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4C2-39D9-E741-AE1B-7DE978684BB7}">
  <sheetPr>
    <pageSetUpPr fitToPage="1"/>
  </sheetPr>
  <dimension ref="A1:BN18"/>
  <sheetViews>
    <sheetView topLeftCell="AX1" zoomScaleNormal="100" workbookViewId="0">
      <pane ySplit="2" topLeftCell="A3" activePane="bottomLeft" state="frozen"/>
      <selection pane="bottomLeft" activeCell="BK1" sqref="BK1"/>
    </sheetView>
  </sheetViews>
  <sheetFormatPr baseColWidth="10" defaultRowHeight="20" customHeight="1" x14ac:dyDescent="0.2"/>
  <cols>
    <col min="1" max="2" width="10.83203125" customWidth="1"/>
    <col min="3" max="22" width="4.33203125" style="7" customWidth="1"/>
    <col min="23" max="23" width="10.83203125" style="1" customWidth="1"/>
    <col min="24" max="24" width="5.6640625" style="1" customWidth="1"/>
    <col min="25" max="25" width="8.6640625" style="1" customWidth="1"/>
    <col min="26" max="26" width="4.6640625" style="1" customWidth="1"/>
    <col min="27" max="27" width="8.83203125" style="7" customWidth="1"/>
    <col min="28" max="28" width="8.33203125" style="7" bestFit="1" customWidth="1"/>
    <col min="29" max="30" width="5.5" customWidth="1"/>
    <col min="31" max="37" width="5" customWidth="1"/>
    <col min="38" max="38" width="5.6640625" bestFit="1" customWidth="1"/>
    <col min="39" max="46" width="5.1640625" customWidth="1"/>
    <col min="47" max="49" width="5.6640625" style="16" customWidth="1"/>
    <col min="50" max="50" width="7.1640625" style="16" bestFit="1" customWidth="1"/>
    <col min="51" max="51" width="5.6640625" style="16" customWidth="1"/>
    <col min="52" max="53" width="7.1640625" style="16" bestFit="1" customWidth="1"/>
    <col min="54" max="54" width="5.6640625" style="16" customWidth="1"/>
    <col min="55" max="55" width="7.1640625" style="16" bestFit="1" customWidth="1"/>
    <col min="56" max="57" width="5.6640625" style="16" customWidth="1"/>
    <col min="58" max="58" width="4.6640625" style="1" bestFit="1" customWidth="1"/>
    <col min="59" max="62" width="10.83203125" style="1"/>
    <col min="63" max="63" width="12.33203125" style="1" bestFit="1" customWidth="1"/>
    <col min="64" max="16384" width="10.83203125" style="1"/>
  </cols>
  <sheetData>
    <row r="1" spans="1:66" ht="103" customHeight="1" x14ac:dyDescent="0.2">
      <c r="A1" s="2"/>
      <c r="B1" s="2"/>
      <c r="C1" s="17" t="s">
        <v>12</v>
      </c>
      <c r="D1" s="17" t="s">
        <v>12</v>
      </c>
      <c r="E1" s="17" t="s">
        <v>12</v>
      </c>
      <c r="F1" s="17" t="s">
        <v>12</v>
      </c>
      <c r="G1" s="17" t="s">
        <v>12</v>
      </c>
      <c r="H1" s="17" t="s">
        <v>12</v>
      </c>
      <c r="I1" s="17" t="s">
        <v>12</v>
      </c>
      <c r="J1" s="17" t="s">
        <v>12</v>
      </c>
      <c r="K1" s="17" t="s">
        <v>12</v>
      </c>
      <c r="L1" s="17" t="s">
        <v>12</v>
      </c>
      <c r="M1" s="17" t="s">
        <v>12</v>
      </c>
      <c r="N1" s="17" t="s">
        <v>12</v>
      </c>
      <c r="O1" s="17" t="s">
        <v>12</v>
      </c>
      <c r="P1" s="17" t="s">
        <v>12</v>
      </c>
      <c r="Q1" s="17" t="s">
        <v>12</v>
      </c>
      <c r="R1" s="17" t="s">
        <v>12</v>
      </c>
      <c r="S1" s="17" t="s">
        <v>12</v>
      </c>
      <c r="T1" s="17" t="s">
        <v>12</v>
      </c>
      <c r="U1" s="17" t="s">
        <v>12</v>
      </c>
      <c r="V1" s="17" t="s">
        <v>12</v>
      </c>
      <c r="X1" s="9" t="s">
        <v>14</v>
      </c>
      <c r="Y1" s="9" t="s">
        <v>15</v>
      </c>
      <c r="AA1" s="10" t="s">
        <v>16</v>
      </c>
      <c r="AB1" s="7" t="s">
        <v>57</v>
      </c>
      <c r="AC1" s="62" t="s">
        <v>10</v>
      </c>
      <c r="AD1" s="63"/>
      <c r="AE1" s="63"/>
      <c r="AF1" s="63"/>
      <c r="AG1" s="63"/>
      <c r="AH1" s="63"/>
      <c r="AI1" s="63"/>
      <c r="AJ1" s="63"/>
      <c r="AK1" s="64"/>
      <c r="AL1" s="68"/>
      <c r="AM1" s="69"/>
      <c r="AN1" s="69"/>
      <c r="AO1" s="69"/>
      <c r="AP1" s="69"/>
      <c r="AQ1" s="69"/>
      <c r="AR1" s="69"/>
      <c r="AS1" s="69"/>
      <c r="AT1" s="70"/>
      <c r="AU1" s="65"/>
      <c r="AV1" s="66"/>
      <c r="AW1" s="66"/>
      <c r="AX1" s="66"/>
      <c r="AY1" s="66"/>
      <c r="AZ1" s="66"/>
      <c r="BA1" s="66"/>
      <c r="BB1" s="66"/>
      <c r="BC1" s="67"/>
      <c r="BD1" s="52" t="s">
        <v>46</v>
      </c>
      <c r="BE1" s="53" t="s">
        <v>47</v>
      </c>
      <c r="BF1" s="54" t="s">
        <v>45</v>
      </c>
      <c r="BG1" s="48" t="s">
        <v>13</v>
      </c>
      <c r="BH1" s="48" t="s">
        <v>43</v>
      </c>
      <c r="BI1" s="49" t="s">
        <v>44</v>
      </c>
      <c r="BJ1" s="49" t="s">
        <v>26</v>
      </c>
      <c r="BK1" s="75" t="s">
        <v>53</v>
      </c>
      <c r="BL1" s="71"/>
      <c r="BM1" s="71"/>
      <c r="BN1" s="71"/>
    </row>
    <row r="2" spans="1:66" ht="35" customHeight="1" x14ac:dyDescent="0.2">
      <c r="A2" s="4" t="s">
        <v>8</v>
      </c>
      <c r="B2" s="4" t="s">
        <v>9</v>
      </c>
      <c r="C2" s="55">
        <v>1</v>
      </c>
      <c r="D2" s="55">
        <v>2</v>
      </c>
      <c r="E2" s="55">
        <v>3</v>
      </c>
      <c r="F2" s="55">
        <v>4</v>
      </c>
      <c r="G2" s="55">
        <v>5</v>
      </c>
      <c r="H2" s="55">
        <v>6</v>
      </c>
      <c r="I2" s="55">
        <v>7</v>
      </c>
      <c r="J2" s="55">
        <v>8</v>
      </c>
      <c r="K2" s="55">
        <v>9</v>
      </c>
      <c r="L2" s="55">
        <v>10</v>
      </c>
      <c r="M2" s="55">
        <v>11</v>
      </c>
      <c r="N2" s="55">
        <v>12</v>
      </c>
      <c r="O2" s="55">
        <v>13</v>
      </c>
      <c r="P2" s="55">
        <v>14</v>
      </c>
      <c r="Q2" s="55">
        <v>15</v>
      </c>
      <c r="R2" s="55">
        <v>16</v>
      </c>
      <c r="S2" s="55">
        <v>17</v>
      </c>
      <c r="T2" s="55">
        <v>18</v>
      </c>
      <c r="U2" s="55">
        <v>19</v>
      </c>
      <c r="V2" s="55">
        <v>20</v>
      </c>
      <c r="X2"/>
      <c r="Y2"/>
      <c r="Z2" s="3" t="s">
        <v>9</v>
      </c>
      <c r="AC2" s="18" t="s">
        <v>0</v>
      </c>
      <c r="AD2" s="3" t="s">
        <v>1</v>
      </c>
      <c r="AE2" s="3" t="s">
        <v>2</v>
      </c>
      <c r="AF2" s="3" t="s">
        <v>3</v>
      </c>
      <c r="AG2" s="3" t="s">
        <v>4</v>
      </c>
      <c r="AH2" s="3" t="s">
        <v>5</v>
      </c>
      <c r="AI2" s="3" t="s">
        <v>6</v>
      </c>
      <c r="AJ2" s="3" t="s">
        <v>7</v>
      </c>
      <c r="AK2" s="19" t="s">
        <v>8</v>
      </c>
      <c r="AL2" s="18" t="s">
        <v>0</v>
      </c>
      <c r="AM2" s="3" t="s">
        <v>1</v>
      </c>
      <c r="AN2" s="3" t="s">
        <v>2</v>
      </c>
      <c r="AO2" s="3" t="s">
        <v>3</v>
      </c>
      <c r="AP2" s="3" t="s">
        <v>4</v>
      </c>
      <c r="AQ2" s="3" t="s">
        <v>5</v>
      </c>
      <c r="AR2" s="3" t="s">
        <v>6</v>
      </c>
      <c r="AS2" s="3" t="s">
        <v>7</v>
      </c>
      <c r="AT2" s="19" t="s">
        <v>8</v>
      </c>
      <c r="AU2" s="18" t="s">
        <v>0</v>
      </c>
      <c r="AV2" s="3" t="s">
        <v>1</v>
      </c>
      <c r="AW2" s="3" t="s">
        <v>2</v>
      </c>
      <c r="AX2" s="3" t="s">
        <v>3</v>
      </c>
      <c r="AY2" s="3" t="s">
        <v>4</v>
      </c>
      <c r="AZ2" s="3" t="s">
        <v>5</v>
      </c>
      <c r="BA2" s="3" t="s">
        <v>6</v>
      </c>
      <c r="BB2" s="3" t="s">
        <v>7</v>
      </c>
      <c r="BC2" s="19" t="s">
        <v>8</v>
      </c>
      <c r="BD2" s="37"/>
      <c r="BE2" s="12"/>
      <c r="BF2" s="38"/>
      <c r="BG2" s="38"/>
      <c r="BH2" s="38" t="s">
        <v>61</v>
      </c>
      <c r="BJ2" s="1" t="s">
        <v>62</v>
      </c>
      <c r="BL2" s="72"/>
      <c r="BM2" s="72"/>
      <c r="BN2" s="72"/>
    </row>
    <row r="3" spans="1:66" ht="20" customHeight="1" x14ac:dyDescent="0.2">
      <c r="A3" s="7" t="s">
        <v>11</v>
      </c>
      <c r="B3" s="4">
        <v>1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2</v>
      </c>
      <c r="L3" s="2" t="s">
        <v>2</v>
      </c>
      <c r="M3" s="2" t="s">
        <v>52</v>
      </c>
      <c r="N3" s="2" t="s">
        <v>52</v>
      </c>
      <c r="O3" s="2" t="s">
        <v>52</v>
      </c>
      <c r="P3" s="2" t="s">
        <v>52</v>
      </c>
      <c r="Q3" s="2" t="s">
        <v>52</v>
      </c>
      <c r="R3" s="2" t="s">
        <v>52</v>
      </c>
      <c r="S3" s="2" t="s">
        <v>52</v>
      </c>
      <c r="T3" s="2" t="s">
        <v>52</v>
      </c>
      <c r="U3" s="2" t="s">
        <v>52</v>
      </c>
      <c r="V3" s="2" t="s">
        <v>52</v>
      </c>
      <c r="X3" s="55" t="s">
        <v>0</v>
      </c>
      <c r="Y3" s="55">
        <v>4</v>
      </c>
      <c r="Z3">
        <f>B3</f>
        <v>1</v>
      </c>
      <c r="AA3" s="6">
        <f>COUNTIF(C3:V3,X3)</f>
        <v>4</v>
      </c>
      <c r="AB3" s="8">
        <f>AA3/(COUNT($C$2:$V$2))</f>
        <v>0.2</v>
      </c>
      <c r="AC3" s="26">
        <f>COUNTIF($C3:$V3,AC$2)</f>
        <v>4</v>
      </c>
      <c r="AD3" s="27">
        <f t="shared" ref="AD3:AK12" si="0">COUNTIF($C3:$V3,AD$2)</f>
        <v>4</v>
      </c>
      <c r="AE3" s="27">
        <f t="shared" si="0"/>
        <v>2</v>
      </c>
      <c r="AF3" s="27">
        <f t="shared" si="0"/>
        <v>0</v>
      </c>
      <c r="AG3" s="27">
        <f t="shared" si="0"/>
        <v>0</v>
      </c>
      <c r="AH3" s="27">
        <f t="shared" si="0"/>
        <v>0</v>
      </c>
      <c r="AI3" s="27">
        <f t="shared" si="0"/>
        <v>0</v>
      </c>
      <c r="AJ3" s="27">
        <f t="shared" si="0"/>
        <v>0</v>
      </c>
      <c r="AK3" s="28">
        <f t="shared" si="0"/>
        <v>0</v>
      </c>
      <c r="AL3" s="20">
        <f t="shared" ref="AL3:AT12" si="1">AC3/SUM($AC3:$AK3)</f>
        <v>0.4</v>
      </c>
      <c r="AM3" s="21">
        <f t="shared" si="1"/>
        <v>0.4</v>
      </c>
      <c r="AN3" s="21">
        <f t="shared" si="1"/>
        <v>0.2</v>
      </c>
      <c r="AO3" s="21">
        <f t="shared" si="1"/>
        <v>0</v>
      </c>
      <c r="AP3" s="21">
        <f t="shared" si="1"/>
        <v>0</v>
      </c>
      <c r="AQ3" s="21">
        <f t="shared" si="1"/>
        <v>0</v>
      </c>
      <c r="AR3" s="21">
        <f t="shared" si="1"/>
        <v>0</v>
      </c>
      <c r="AS3" s="21">
        <f t="shared" si="1"/>
        <v>0</v>
      </c>
      <c r="AT3" s="22">
        <f t="shared" si="1"/>
        <v>0</v>
      </c>
      <c r="AU3" s="32">
        <f t="shared" ref="AU3:BC12" si="2">IF(AL3=0,0,-(AL3*LOG(AL3,2)))</f>
        <v>0.52877123795494485</v>
      </c>
      <c r="AV3" s="13">
        <f t="shared" si="2"/>
        <v>0.52877123795494485</v>
      </c>
      <c r="AW3" s="13">
        <f t="shared" si="2"/>
        <v>0.46438561897747244</v>
      </c>
      <c r="AX3" s="13">
        <f t="shared" si="2"/>
        <v>0</v>
      </c>
      <c r="AY3" s="13">
        <f t="shared" si="2"/>
        <v>0</v>
      </c>
      <c r="AZ3" s="13">
        <f t="shared" si="2"/>
        <v>0</v>
      </c>
      <c r="BA3" s="13">
        <f t="shared" si="2"/>
        <v>0</v>
      </c>
      <c r="BB3" s="13">
        <f t="shared" si="2"/>
        <v>0</v>
      </c>
      <c r="BC3" s="33">
        <f t="shared" si="2"/>
        <v>0</v>
      </c>
      <c r="BD3" s="32">
        <f>SUM(AU3:BC3)</f>
        <v>1.5219280948873621</v>
      </c>
      <c r="BE3" s="14">
        <f>IF(X3="A",AU3,IF(X3="B",AV3,IF(X3="C",AW3,IF(X3="D",AX3,IF(X3="E",AY3,IF(X3="F",AZ3,IF(X3="G",BA3,IF(X3="H",BB3,BC3))))))))</f>
        <v>0.52877123795494485</v>
      </c>
      <c r="BF3" s="39">
        <f>BD3-BE3</f>
        <v>0.99315685693241729</v>
      </c>
      <c r="BG3" s="41">
        <f>(1-AB3)*POWER(2,(-BF3/(AB3-1)))</f>
        <v>1.8914832180063514</v>
      </c>
      <c r="BH3" s="39">
        <f t="shared" ref="BH3:BH12" si="3">BG3/Y3</f>
        <v>0.47287080450158786</v>
      </c>
      <c r="BI3" s="43">
        <f>SQRT(SUMSQ(AC3:AK3)-AA3^2)/(SUM(AC3:AK3)-AA3)</f>
        <v>0.7453559924999299</v>
      </c>
      <c r="BJ3" s="43">
        <f>(SQRT(Y3)/(SQRT(Y3)-1))*(BI3-1/SQRT(Y3))</f>
        <v>0.4907119849998598</v>
      </c>
      <c r="BK3" s="56" t="str">
        <f>IF(OR(AB3="",BH3=""),"",IF(AB3&gt;=0.5,IF(BH3&gt;=0.5,"Q1","Q4"),IF(BH3&gt;=0.5,"Q2","Q3")))</f>
        <v>Q3</v>
      </c>
      <c r="BL3" s="73"/>
      <c r="BM3" s="73"/>
      <c r="BN3" s="74"/>
    </row>
    <row r="4" spans="1:66" ht="20" customHeight="1" x14ac:dyDescent="0.2">
      <c r="A4" s="7" t="s">
        <v>11</v>
      </c>
      <c r="B4" s="4">
        <v>2</v>
      </c>
      <c r="C4" s="11" t="s">
        <v>0</v>
      </c>
      <c r="D4" s="11" t="s">
        <v>0</v>
      </c>
      <c r="E4" s="11" t="s">
        <v>0</v>
      </c>
      <c r="F4" s="11" t="s">
        <v>0</v>
      </c>
      <c r="G4" s="11" t="s">
        <v>0</v>
      </c>
      <c r="H4" s="11" t="s">
        <v>1</v>
      </c>
      <c r="I4" s="11" t="s">
        <v>1</v>
      </c>
      <c r="J4" s="11" t="s">
        <v>1</v>
      </c>
      <c r="K4" s="11" t="s">
        <v>1</v>
      </c>
      <c r="L4" s="11" t="s">
        <v>1</v>
      </c>
      <c r="M4" s="11"/>
      <c r="N4" s="11"/>
      <c r="O4" s="11"/>
      <c r="P4" s="11"/>
      <c r="Q4" s="11"/>
      <c r="R4" s="11"/>
      <c r="S4" s="11"/>
      <c r="T4" s="11"/>
      <c r="U4" s="11"/>
      <c r="V4" s="11"/>
      <c r="X4" s="55"/>
      <c r="Y4" s="55"/>
      <c r="Z4">
        <f t="shared" ref="Z4:Z18" si="4">B4</f>
        <v>2</v>
      </c>
      <c r="AA4" s="6">
        <f t="shared" ref="AA4:AA12" si="5">COUNTIF(C4:V4,X4)</f>
        <v>0</v>
      </c>
      <c r="AB4" s="8">
        <f t="shared" ref="AB4:AB12" si="6">AA4/(COUNT($C$2:$V$2))</f>
        <v>0</v>
      </c>
      <c r="AC4" s="26">
        <f t="shared" ref="AC4:AC12" si="7">COUNTIF($C4:$V4,AC$2)</f>
        <v>5</v>
      </c>
      <c r="AD4" s="27">
        <f t="shared" si="0"/>
        <v>5</v>
      </c>
      <c r="AE4" s="27">
        <f t="shared" si="0"/>
        <v>0</v>
      </c>
      <c r="AF4" s="27">
        <f t="shared" si="0"/>
        <v>0</v>
      </c>
      <c r="AG4" s="27">
        <f t="shared" si="0"/>
        <v>0</v>
      </c>
      <c r="AH4" s="27">
        <f t="shared" si="0"/>
        <v>0</v>
      </c>
      <c r="AI4" s="27">
        <f t="shared" si="0"/>
        <v>0</v>
      </c>
      <c r="AJ4" s="27">
        <f t="shared" si="0"/>
        <v>0</v>
      </c>
      <c r="AK4" s="28">
        <f t="shared" si="0"/>
        <v>0</v>
      </c>
      <c r="AL4" s="20">
        <f t="shared" si="1"/>
        <v>0.5</v>
      </c>
      <c r="AM4" s="21">
        <f t="shared" si="1"/>
        <v>0.5</v>
      </c>
      <c r="AN4" s="21">
        <f t="shared" si="1"/>
        <v>0</v>
      </c>
      <c r="AO4" s="21">
        <f t="shared" si="1"/>
        <v>0</v>
      </c>
      <c r="AP4" s="21">
        <f t="shared" si="1"/>
        <v>0</v>
      </c>
      <c r="AQ4" s="21">
        <f t="shared" si="1"/>
        <v>0</v>
      </c>
      <c r="AR4" s="21">
        <f t="shared" si="1"/>
        <v>0</v>
      </c>
      <c r="AS4" s="21">
        <f t="shared" si="1"/>
        <v>0</v>
      </c>
      <c r="AT4" s="22">
        <f t="shared" si="1"/>
        <v>0</v>
      </c>
      <c r="AU4" s="32">
        <f t="shared" si="2"/>
        <v>0.5</v>
      </c>
      <c r="AV4" s="13">
        <f t="shared" si="2"/>
        <v>0.5</v>
      </c>
      <c r="AW4" s="13">
        <f t="shared" si="2"/>
        <v>0</v>
      </c>
      <c r="AX4" s="13">
        <f t="shared" si="2"/>
        <v>0</v>
      </c>
      <c r="AY4" s="13">
        <f t="shared" si="2"/>
        <v>0</v>
      </c>
      <c r="AZ4" s="13">
        <f t="shared" si="2"/>
        <v>0</v>
      </c>
      <c r="BA4" s="13">
        <f t="shared" si="2"/>
        <v>0</v>
      </c>
      <c r="BB4" s="13">
        <f t="shared" si="2"/>
        <v>0</v>
      </c>
      <c r="BC4" s="33">
        <f t="shared" si="2"/>
        <v>0</v>
      </c>
      <c r="BD4" s="32">
        <f t="shared" ref="BD4:BD12" si="8">SUM(AU4:BC4)</f>
        <v>1</v>
      </c>
      <c r="BE4" s="14">
        <f t="shared" ref="BE4:BE12" si="9">IF(X4="A",AU4,IF(X4="B",AV4,IF(X4="C",AW4,IF(X4="D",AX4,IF(X4="E",AY4,IF(X4="F",AZ4,IF(X4="G",BA4,IF(X4="H",BB4,BC4))))))))</f>
        <v>0</v>
      </c>
      <c r="BF4" s="39">
        <f t="shared" ref="BF4:BF12" si="10">BD4-BE4</f>
        <v>1</v>
      </c>
      <c r="BG4" s="41">
        <f t="shared" ref="BG4:BG12" si="11">(1-AB4)*POWER(2,(-BF4/(AB4-1)))</f>
        <v>2</v>
      </c>
      <c r="BH4" s="39" t="e">
        <f t="shared" si="3"/>
        <v>#DIV/0!</v>
      </c>
      <c r="BI4" s="43">
        <f t="shared" ref="BI4:BI12" si="12">SQRT(SUMSQ(AC4:AK4)-AA4^2)/(SUM(AC4:AK4)-AA4)</f>
        <v>0.70710678118654757</v>
      </c>
      <c r="BJ4" s="43" t="e">
        <f t="shared" ref="BJ4:BJ12" si="13">(SQRT(Y4)/(SQRT(Y4)-1))*(BI4-1/SQRT(Y4))</f>
        <v>#DIV/0!</v>
      </c>
      <c r="BK4" s="56" t="e">
        <f t="shared" ref="BK4:BK12" si="14">IF(OR(AB4="",BH4=""),"",IF(AB4&gt;=0.5,IF(BH4&gt;=0.5,"Q1","Q4"),IF(BH4&gt;=0.5,"Q2","Q3")))</f>
        <v>#DIV/0!</v>
      </c>
      <c r="BL4" s="73"/>
      <c r="BM4" s="73"/>
      <c r="BN4" s="74"/>
    </row>
    <row r="5" spans="1:66" ht="20" customHeight="1" x14ac:dyDescent="0.2">
      <c r="A5" s="7" t="s">
        <v>11</v>
      </c>
      <c r="B5" s="4">
        <v>3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1</v>
      </c>
      <c r="M5" s="2" t="str">
        <f>"-"</f>
        <v>-</v>
      </c>
      <c r="N5" s="2" t="str">
        <f t="shared" ref="N5:V5" si="15">"-"</f>
        <v>-</v>
      </c>
      <c r="O5" s="2" t="str">
        <f t="shared" si="15"/>
        <v>-</v>
      </c>
      <c r="P5" s="2" t="str">
        <f t="shared" si="15"/>
        <v>-</v>
      </c>
      <c r="Q5" s="2" t="str">
        <f t="shared" si="15"/>
        <v>-</v>
      </c>
      <c r="R5" s="2" t="str">
        <f t="shared" si="15"/>
        <v>-</v>
      </c>
      <c r="S5" s="2" t="str">
        <f t="shared" si="15"/>
        <v>-</v>
      </c>
      <c r="T5" s="2" t="str">
        <f t="shared" si="15"/>
        <v>-</v>
      </c>
      <c r="U5" s="2" t="str">
        <f t="shared" si="15"/>
        <v>-</v>
      </c>
      <c r="V5" s="2" t="str">
        <f t="shared" si="15"/>
        <v>-</v>
      </c>
      <c r="X5" s="55"/>
      <c r="Y5" s="55"/>
      <c r="Z5">
        <f t="shared" si="4"/>
        <v>3</v>
      </c>
      <c r="AA5" s="6">
        <f t="shared" si="5"/>
        <v>0</v>
      </c>
      <c r="AB5" s="8">
        <f t="shared" si="6"/>
        <v>0</v>
      </c>
      <c r="AC5" s="26">
        <f t="shared" si="7"/>
        <v>9</v>
      </c>
      <c r="AD5" s="27">
        <f>COUNTIF($C5:$V5,AD$2)</f>
        <v>1</v>
      </c>
      <c r="AE5" s="27">
        <f t="shared" si="0"/>
        <v>0</v>
      </c>
      <c r="AF5" s="27">
        <f t="shared" si="0"/>
        <v>0</v>
      </c>
      <c r="AG5" s="27">
        <f t="shared" si="0"/>
        <v>0</v>
      </c>
      <c r="AH5" s="27">
        <f t="shared" si="0"/>
        <v>0</v>
      </c>
      <c r="AI5" s="27">
        <f t="shared" si="0"/>
        <v>0</v>
      </c>
      <c r="AJ5" s="27">
        <f t="shared" si="0"/>
        <v>0</v>
      </c>
      <c r="AK5" s="28">
        <f t="shared" si="0"/>
        <v>0</v>
      </c>
      <c r="AL5" s="20">
        <f t="shared" si="1"/>
        <v>0.9</v>
      </c>
      <c r="AM5" s="21">
        <f t="shared" si="1"/>
        <v>0.1</v>
      </c>
      <c r="AN5" s="21">
        <f t="shared" si="1"/>
        <v>0</v>
      </c>
      <c r="AO5" s="21">
        <f t="shared" si="1"/>
        <v>0</v>
      </c>
      <c r="AP5" s="21">
        <f t="shared" si="1"/>
        <v>0</v>
      </c>
      <c r="AQ5" s="21">
        <f t="shared" si="1"/>
        <v>0</v>
      </c>
      <c r="AR5" s="21">
        <f t="shared" si="1"/>
        <v>0</v>
      </c>
      <c r="AS5" s="21">
        <f t="shared" si="1"/>
        <v>0</v>
      </c>
      <c r="AT5" s="22">
        <f t="shared" si="1"/>
        <v>0</v>
      </c>
      <c r="AU5" s="32">
        <f t="shared" si="2"/>
        <v>0.13680278410054497</v>
      </c>
      <c r="AV5" s="13">
        <f t="shared" si="2"/>
        <v>0.33219280948873625</v>
      </c>
      <c r="AW5" s="13">
        <f t="shared" si="2"/>
        <v>0</v>
      </c>
      <c r="AX5" s="13">
        <f t="shared" si="2"/>
        <v>0</v>
      </c>
      <c r="AY5" s="13">
        <f t="shared" si="2"/>
        <v>0</v>
      </c>
      <c r="AZ5" s="13">
        <f t="shared" si="2"/>
        <v>0</v>
      </c>
      <c r="BA5" s="13">
        <f t="shared" si="2"/>
        <v>0</v>
      </c>
      <c r="BB5" s="13">
        <f t="shared" si="2"/>
        <v>0</v>
      </c>
      <c r="BC5" s="33">
        <f t="shared" si="2"/>
        <v>0</v>
      </c>
      <c r="BD5" s="32">
        <f t="shared" si="8"/>
        <v>0.46899559358928122</v>
      </c>
      <c r="BE5" s="14">
        <f t="shared" si="9"/>
        <v>0</v>
      </c>
      <c r="BF5" s="39">
        <f t="shared" si="10"/>
        <v>0.46899559358928122</v>
      </c>
      <c r="BG5" s="41">
        <f t="shared" si="11"/>
        <v>1.3841454884616859</v>
      </c>
      <c r="BH5" s="39" t="e">
        <f t="shared" si="3"/>
        <v>#DIV/0!</v>
      </c>
      <c r="BI5" s="43">
        <f t="shared" si="12"/>
        <v>0.90553851381374173</v>
      </c>
      <c r="BJ5" s="43" t="e">
        <f t="shared" si="13"/>
        <v>#DIV/0!</v>
      </c>
      <c r="BK5" s="56" t="e">
        <f t="shared" si="14"/>
        <v>#DIV/0!</v>
      </c>
      <c r="BL5" s="73"/>
      <c r="BM5" s="73"/>
      <c r="BN5" s="74"/>
    </row>
    <row r="6" spans="1:66" ht="20" customHeight="1" x14ac:dyDescent="0.2">
      <c r="A6" s="7" t="s">
        <v>11</v>
      </c>
      <c r="B6" s="4">
        <v>4</v>
      </c>
      <c r="C6" s="11" t="s">
        <v>0</v>
      </c>
      <c r="D6" s="11" t="s">
        <v>0</v>
      </c>
      <c r="E6" s="11" t="s">
        <v>0</v>
      </c>
      <c r="F6" s="11" t="s">
        <v>0</v>
      </c>
      <c r="G6" s="11" t="s">
        <v>0</v>
      </c>
      <c r="H6" s="11" t="s">
        <v>0</v>
      </c>
      <c r="I6" s="11" t="s">
        <v>0</v>
      </c>
      <c r="J6" s="11" t="s">
        <v>1</v>
      </c>
      <c r="K6" s="11" t="s">
        <v>1</v>
      </c>
      <c r="L6" s="11" t="s">
        <v>1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X6" s="55"/>
      <c r="Y6" s="55"/>
      <c r="Z6">
        <f t="shared" si="4"/>
        <v>4</v>
      </c>
      <c r="AA6" s="6">
        <f t="shared" si="5"/>
        <v>10</v>
      </c>
      <c r="AB6" s="8">
        <f t="shared" si="6"/>
        <v>0.5</v>
      </c>
      <c r="AC6" s="26">
        <f t="shared" si="7"/>
        <v>7</v>
      </c>
      <c r="AD6" s="27">
        <f t="shared" si="0"/>
        <v>3</v>
      </c>
      <c r="AE6" s="27">
        <f t="shared" si="0"/>
        <v>0</v>
      </c>
      <c r="AF6" s="27">
        <f t="shared" si="0"/>
        <v>0</v>
      </c>
      <c r="AG6" s="27">
        <f t="shared" si="0"/>
        <v>0</v>
      </c>
      <c r="AH6" s="27">
        <f t="shared" si="0"/>
        <v>0</v>
      </c>
      <c r="AI6" s="27">
        <f t="shared" si="0"/>
        <v>0</v>
      </c>
      <c r="AJ6" s="27">
        <f t="shared" si="0"/>
        <v>0</v>
      </c>
      <c r="AK6" s="28">
        <f t="shared" si="0"/>
        <v>0</v>
      </c>
      <c r="AL6" s="20">
        <f t="shared" si="1"/>
        <v>0.7</v>
      </c>
      <c r="AM6" s="21">
        <f t="shared" si="1"/>
        <v>0.3</v>
      </c>
      <c r="AN6" s="21">
        <f t="shared" si="1"/>
        <v>0</v>
      </c>
      <c r="AO6" s="21">
        <f t="shared" si="1"/>
        <v>0</v>
      </c>
      <c r="AP6" s="21">
        <f t="shared" si="1"/>
        <v>0</v>
      </c>
      <c r="AQ6" s="21">
        <f t="shared" si="1"/>
        <v>0</v>
      </c>
      <c r="AR6" s="21">
        <f t="shared" si="1"/>
        <v>0</v>
      </c>
      <c r="AS6" s="21">
        <f t="shared" si="1"/>
        <v>0</v>
      </c>
      <c r="AT6" s="22">
        <f t="shared" si="1"/>
        <v>0</v>
      </c>
      <c r="AU6" s="32">
        <f t="shared" si="2"/>
        <v>0.36020122098083079</v>
      </c>
      <c r="AV6" s="13">
        <f t="shared" si="2"/>
        <v>0.52108967824986185</v>
      </c>
      <c r="AW6" s="13">
        <f t="shared" si="2"/>
        <v>0</v>
      </c>
      <c r="AX6" s="13">
        <f t="shared" si="2"/>
        <v>0</v>
      </c>
      <c r="AY6" s="13">
        <f t="shared" si="2"/>
        <v>0</v>
      </c>
      <c r="AZ6" s="13">
        <f t="shared" si="2"/>
        <v>0</v>
      </c>
      <c r="BA6" s="13">
        <f t="shared" si="2"/>
        <v>0</v>
      </c>
      <c r="BB6" s="13">
        <f t="shared" si="2"/>
        <v>0</v>
      </c>
      <c r="BC6" s="33">
        <f t="shared" si="2"/>
        <v>0</v>
      </c>
      <c r="BD6" s="32">
        <f t="shared" si="8"/>
        <v>0.8812908992306927</v>
      </c>
      <c r="BE6" s="14">
        <f t="shared" si="9"/>
        <v>0</v>
      </c>
      <c r="BF6" s="39">
        <f t="shared" si="10"/>
        <v>0.8812908992306927</v>
      </c>
      <c r="BG6" s="41">
        <f t="shared" si="11"/>
        <v>1.6965239518780824</v>
      </c>
      <c r="BH6" s="39" t="e">
        <f t="shared" si="3"/>
        <v>#DIV/0!</v>
      </c>
      <c r="BI6" s="43" t="e">
        <f t="shared" si="12"/>
        <v>#NUM!</v>
      </c>
      <c r="BJ6" s="43" t="e">
        <f t="shared" si="13"/>
        <v>#NUM!</v>
      </c>
      <c r="BK6" s="56" t="e">
        <f t="shared" si="14"/>
        <v>#DIV/0!</v>
      </c>
      <c r="BL6" s="73"/>
      <c r="BM6" s="73"/>
      <c r="BN6" s="74"/>
    </row>
    <row r="7" spans="1:66" ht="20" customHeight="1" x14ac:dyDescent="0.2">
      <c r="A7" s="7" t="s">
        <v>11</v>
      </c>
      <c r="B7" s="4">
        <v>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1</v>
      </c>
      <c r="J7" s="2" t="s">
        <v>1</v>
      </c>
      <c r="K7" s="2" t="s">
        <v>1</v>
      </c>
      <c r="L7" s="2" t="s">
        <v>1</v>
      </c>
      <c r="M7" s="2"/>
      <c r="N7" s="2"/>
      <c r="O7" s="2"/>
      <c r="P7" s="2"/>
      <c r="Q7" s="2"/>
      <c r="R7" s="2"/>
      <c r="S7" s="2"/>
      <c r="T7" s="2"/>
      <c r="U7" s="2"/>
      <c r="V7" s="2"/>
      <c r="X7" s="55"/>
      <c r="Y7" s="55"/>
      <c r="Z7">
        <f t="shared" si="4"/>
        <v>5</v>
      </c>
      <c r="AA7" s="6">
        <f t="shared" si="5"/>
        <v>0</v>
      </c>
      <c r="AB7" s="8">
        <f t="shared" si="6"/>
        <v>0</v>
      </c>
      <c r="AC7" s="26">
        <f t="shared" si="7"/>
        <v>6</v>
      </c>
      <c r="AD7" s="27">
        <f t="shared" si="0"/>
        <v>4</v>
      </c>
      <c r="AE7" s="27">
        <f t="shared" si="0"/>
        <v>0</v>
      </c>
      <c r="AF7" s="27">
        <f t="shared" si="0"/>
        <v>0</v>
      </c>
      <c r="AG7" s="27">
        <f t="shared" si="0"/>
        <v>0</v>
      </c>
      <c r="AH7" s="27">
        <f t="shared" si="0"/>
        <v>0</v>
      </c>
      <c r="AI7" s="27">
        <f t="shared" si="0"/>
        <v>0</v>
      </c>
      <c r="AJ7" s="27">
        <f t="shared" si="0"/>
        <v>0</v>
      </c>
      <c r="AK7" s="28">
        <f t="shared" si="0"/>
        <v>0</v>
      </c>
      <c r="AL7" s="20">
        <f t="shared" si="1"/>
        <v>0.6</v>
      </c>
      <c r="AM7" s="21">
        <f t="shared" si="1"/>
        <v>0.4</v>
      </c>
      <c r="AN7" s="21">
        <f t="shared" si="1"/>
        <v>0</v>
      </c>
      <c r="AO7" s="21">
        <f t="shared" si="1"/>
        <v>0</v>
      </c>
      <c r="AP7" s="21">
        <f t="shared" si="1"/>
        <v>0</v>
      </c>
      <c r="AQ7" s="21">
        <f t="shared" si="1"/>
        <v>0</v>
      </c>
      <c r="AR7" s="21">
        <f t="shared" si="1"/>
        <v>0</v>
      </c>
      <c r="AS7" s="21">
        <f t="shared" si="1"/>
        <v>0</v>
      </c>
      <c r="AT7" s="22">
        <f t="shared" si="1"/>
        <v>0</v>
      </c>
      <c r="AU7" s="32">
        <f t="shared" si="2"/>
        <v>0.44217935649972373</v>
      </c>
      <c r="AV7" s="13">
        <f t="shared" si="2"/>
        <v>0.52877123795494485</v>
      </c>
      <c r="AW7" s="13">
        <f t="shared" si="2"/>
        <v>0</v>
      </c>
      <c r="AX7" s="13">
        <f t="shared" si="2"/>
        <v>0</v>
      </c>
      <c r="AY7" s="13">
        <f t="shared" si="2"/>
        <v>0</v>
      </c>
      <c r="AZ7" s="13">
        <f t="shared" si="2"/>
        <v>0</v>
      </c>
      <c r="BA7" s="13">
        <f t="shared" si="2"/>
        <v>0</v>
      </c>
      <c r="BB7" s="13">
        <f t="shared" si="2"/>
        <v>0</v>
      </c>
      <c r="BC7" s="33">
        <f t="shared" si="2"/>
        <v>0</v>
      </c>
      <c r="BD7" s="32">
        <f t="shared" si="8"/>
        <v>0.97095059445466858</v>
      </c>
      <c r="BE7" s="14">
        <f t="shared" si="9"/>
        <v>0</v>
      </c>
      <c r="BF7" s="39">
        <f t="shared" si="10"/>
        <v>0.97095059445466858</v>
      </c>
      <c r="BG7" s="41">
        <f t="shared" si="11"/>
        <v>1.9601317042077893</v>
      </c>
      <c r="BH7" s="39" t="e">
        <f t="shared" si="3"/>
        <v>#DIV/0!</v>
      </c>
      <c r="BI7" s="43">
        <f t="shared" si="12"/>
        <v>0.7211102550927978</v>
      </c>
      <c r="BJ7" s="43" t="e">
        <f t="shared" si="13"/>
        <v>#DIV/0!</v>
      </c>
      <c r="BK7" s="56" t="e">
        <f t="shared" si="14"/>
        <v>#DIV/0!</v>
      </c>
      <c r="BL7" s="73"/>
      <c r="BM7" s="73"/>
      <c r="BN7" s="74"/>
    </row>
    <row r="8" spans="1:66" ht="20" customHeight="1" x14ac:dyDescent="0.2">
      <c r="A8" s="7" t="s">
        <v>11</v>
      </c>
      <c r="B8" s="4">
        <v>6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  <c r="J8" s="11" t="s">
        <v>0</v>
      </c>
      <c r="K8" s="11" t="s">
        <v>0</v>
      </c>
      <c r="L8" s="11" t="s">
        <v>0</v>
      </c>
      <c r="M8" s="11"/>
      <c r="N8" s="11"/>
      <c r="O8" s="11"/>
      <c r="P8" s="11"/>
      <c r="Q8" s="11"/>
      <c r="R8" s="11"/>
      <c r="S8" s="11"/>
      <c r="T8" s="11"/>
      <c r="U8" s="11"/>
      <c r="V8" s="11"/>
      <c r="X8" s="55"/>
      <c r="Y8" s="55"/>
      <c r="Z8">
        <f t="shared" si="4"/>
        <v>6</v>
      </c>
      <c r="AA8" s="6">
        <f t="shared" si="5"/>
        <v>0</v>
      </c>
      <c r="AB8" s="8">
        <f t="shared" si="6"/>
        <v>0</v>
      </c>
      <c r="AC8" s="26">
        <f t="shared" si="7"/>
        <v>10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8">
        <f t="shared" si="0"/>
        <v>0</v>
      </c>
      <c r="AL8" s="20">
        <f t="shared" si="1"/>
        <v>1</v>
      </c>
      <c r="AM8" s="21">
        <f t="shared" si="1"/>
        <v>0</v>
      </c>
      <c r="AN8" s="21">
        <f t="shared" si="1"/>
        <v>0</v>
      </c>
      <c r="AO8" s="21">
        <f t="shared" si="1"/>
        <v>0</v>
      </c>
      <c r="AP8" s="21">
        <f t="shared" si="1"/>
        <v>0</v>
      </c>
      <c r="AQ8" s="21">
        <f t="shared" si="1"/>
        <v>0</v>
      </c>
      <c r="AR8" s="21">
        <f t="shared" si="1"/>
        <v>0</v>
      </c>
      <c r="AS8" s="21">
        <f t="shared" si="1"/>
        <v>0</v>
      </c>
      <c r="AT8" s="22">
        <f t="shared" si="1"/>
        <v>0</v>
      </c>
      <c r="AU8" s="32">
        <f t="shared" si="2"/>
        <v>0</v>
      </c>
      <c r="AV8" s="13">
        <f t="shared" si="2"/>
        <v>0</v>
      </c>
      <c r="AW8" s="13">
        <f t="shared" si="2"/>
        <v>0</v>
      </c>
      <c r="AX8" s="13">
        <f t="shared" si="2"/>
        <v>0</v>
      </c>
      <c r="AY8" s="13">
        <f t="shared" si="2"/>
        <v>0</v>
      </c>
      <c r="AZ8" s="13">
        <f t="shared" si="2"/>
        <v>0</v>
      </c>
      <c r="BA8" s="13">
        <f t="shared" si="2"/>
        <v>0</v>
      </c>
      <c r="BB8" s="13">
        <f t="shared" si="2"/>
        <v>0</v>
      </c>
      <c r="BC8" s="33">
        <f t="shared" si="2"/>
        <v>0</v>
      </c>
      <c r="BD8" s="32">
        <f t="shared" si="8"/>
        <v>0</v>
      </c>
      <c r="BE8" s="14">
        <f t="shared" si="9"/>
        <v>0</v>
      </c>
      <c r="BF8" s="39">
        <f t="shared" si="10"/>
        <v>0</v>
      </c>
      <c r="BG8" s="41">
        <f t="shared" si="11"/>
        <v>1</v>
      </c>
      <c r="BH8" s="39" t="e">
        <f t="shared" si="3"/>
        <v>#DIV/0!</v>
      </c>
      <c r="BI8" s="43">
        <f t="shared" si="12"/>
        <v>1</v>
      </c>
      <c r="BJ8" s="43" t="e">
        <f t="shared" si="13"/>
        <v>#DIV/0!</v>
      </c>
      <c r="BK8" s="56" t="e">
        <f t="shared" si="14"/>
        <v>#DIV/0!</v>
      </c>
      <c r="BL8" s="73"/>
      <c r="BM8" s="73"/>
      <c r="BN8" s="74"/>
    </row>
    <row r="9" spans="1:66" ht="20" customHeight="1" x14ac:dyDescent="0.2">
      <c r="A9" s="7" t="s">
        <v>11</v>
      </c>
      <c r="B9" s="4">
        <v>7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X9" s="55"/>
      <c r="Y9" s="55"/>
      <c r="Z9">
        <f t="shared" si="4"/>
        <v>7</v>
      </c>
      <c r="AA9" s="6">
        <f t="shared" si="5"/>
        <v>0</v>
      </c>
      <c r="AB9" s="8">
        <f t="shared" si="6"/>
        <v>0</v>
      </c>
      <c r="AC9" s="26">
        <f t="shared" si="7"/>
        <v>10</v>
      </c>
      <c r="AD9" s="27">
        <f t="shared" si="0"/>
        <v>0</v>
      </c>
      <c r="AE9" s="27">
        <f t="shared" si="0"/>
        <v>0</v>
      </c>
      <c r="AF9" s="27">
        <f t="shared" si="0"/>
        <v>0</v>
      </c>
      <c r="AG9" s="27">
        <f t="shared" si="0"/>
        <v>0</v>
      </c>
      <c r="AH9" s="27">
        <f t="shared" si="0"/>
        <v>0</v>
      </c>
      <c r="AI9" s="27">
        <f t="shared" si="0"/>
        <v>0</v>
      </c>
      <c r="AJ9" s="27">
        <f t="shared" si="0"/>
        <v>0</v>
      </c>
      <c r="AK9" s="28">
        <f t="shared" si="0"/>
        <v>0</v>
      </c>
      <c r="AL9" s="20">
        <f t="shared" si="1"/>
        <v>1</v>
      </c>
      <c r="AM9" s="21">
        <f t="shared" si="1"/>
        <v>0</v>
      </c>
      <c r="AN9" s="21">
        <f t="shared" si="1"/>
        <v>0</v>
      </c>
      <c r="AO9" s="21">
        <f t="shared" si="1"/>
        <v>0</v>
      </c>
      <c r="AP9" s="21">
        <f t="shared" si="1"/>
        <v>0</v>
      </c>
      <c r="AQ9" s="21">
        <f t="shared" si="1"/>
        <v>0</v>
      </c>
      <c r="AR9" s="21">
        <f t="shared" si="1"/>
        <v>0</v>
      </c>
      <c r="AS9" s="21">
        <f t="shared" si="1"/>
        <v>0</v>
      </c>
      <c r="AT9" s="22">
        <f t="shared" si="1"/>
        <v>0</v>
      </c>
      <c r="AU9" s="32">
        <f t="shared" si="2"/>
        <v>0</v>
      </c>
      <c r="AV9" s="13">
        <f t="shared" si="2"/>
        <v>0</v>
      </c>
      <c r="AW9" s="13">
        <f t="shared" si="2"/>
        <v>0</v>
      </c>
      <c r="AX9" s="13">
        <f t="shared" si="2"/>
        <v>0</v>
      </c>
      <c r="AY9" s="13">
        <f t="shared" si="2"/>
        <v>0</v>
      </c>
      <c r="AZ9" s="13">
        <f t="shared" si="2"/>
        <v>0</v>
      </c>
      <c r="BA9" s="13">
        <f t="shared" si="2"/>
        <v>0</v>
      </c>
      <c r="BB9" s="13">
        <f t="shared" si="2"/>
        <v>0</v>
      </c>
      <c r="BC9" s="33">
        <f t="shared" si="2"/>
        <v>0</v>
      </c>
      <c r="BD9" s="32">
        <f t="shared" si="8"/>
        <v>0</v>
      </c>
      <c r="BE9" s="14">
        <f t="shared" si="9"/>
        <v>0</v>
      </c>
      <c r="BF9" s="39">
        <f t="shared" si="10"/>
        <v>0</v>
      </c>
      <c r="BG9" s="41">
        <f t="shared" si="11"/>
        <v>1</v>
      </c>
      <c r="BH9" s="39" t="e">
        <f t="shared" si="3"/>
        <v>#DIV/0!</v>
      </c>
      <c r="BI9" s="43">
        <f t="shared" si="12"/>
        <v>1</v>
      </c>
      <c r="BJ9" s="43" t="e">
        <f t="shared" si="13"/>
        <v>#DIV/0!</v>
      </c>
      <c r="BK9" s="56" t="e">
        <f t="shared" si="14"/>
        <v>#DIV/0!</v>
      </c>
      <c r="BL9" s="73"/>
      <c r="BM9" s="73"/>
      <c r="BN9" s="74"/>
    </row>
    <row r="10" spans="1:66" ht="20" customHeight="1" x14ac:dyDescent="0.2">
      <c r="A10" s="7" t="s">
        <v>11</v>
      </c>
      <c r="B10" s="4">
        <v>8</v>
      </c>
      <c r="C10" s="11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1" t="s">
        <v>0</v>
      </c>
      <c r="J10" s="11" t="s">
        <v>0</v>
      </c>
      <c r="K10" s="11" t="s">
        <v>2</v>
      </c>
      <c r="L10" s="11" t="s">
        <v>2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X10" s="55"/>
      <c r="Y10" s="55"/>
      <c r="Z10">
        <f t="shared" si="4"/>
        <v>8</v>
      </c>
      <c r="AA10" s="6">
        <f t="shared" si="5"/>
        <v>0</v>
      </c>
      <c r="AB10" s="8">
        <f t="shared" si="6"/>
        <v>0</v>
      </c>
      <c r="AC10" s="26">
        <f t="shared" si="7"/>
        <v>8</v>
      </c>
      <c r="AD10" s="27">
        <f t="shared" si="0"/>
        <v>0</v>
      </c>
      <c r="AE10" s="27">
        <f t="shared" si="0"/>
        <v>2</v>
      </c>
      <c r="AF10" s="27">
        <f t="shared" si="0"/>
        <v>0</v>
      </c>
      <c r="AG10" s="27">
        <f t="shared" si="0"/>
        <v>0</v>
      </c>
      <c r="AH10" s="27">
        <f t="shared" si="0"/>
        <v>0</v>
      </c>
      <c r="AI10" s="27">
        <f t="shared" si="0"/>
        <v>0</v>
      </c>
      <c r="AJ10" s="27">
        <f t="shared" si="0"/>
        <v>0</v>
      </c>
      <c r="AK10" s="28">
        <f t="shared" si="0"/>
        <v>0</v>
      </c>
      <c r="AL10" s="20">
        <f t="shared" si="1"/>
        <v>0.8</v>
      </c>
      <c r="AM10" s="21">
        <f t="shared" si="1"/>
        <v>0</v>
      </c>
      <c r="AN10" s="21">
        <f t="shared" si="1"/>
        <v>0.2</v>
      </c>
      <c r="AO10" s="21">
        <f t="shared" si="1"/>
        <v>0</v>
      </c>
      <c r="AP10" s="21">
        <f t="shared" si="1"/>
        <v>0</v>
      </c>
      <c r="AQ10" s="21">
        <f t="shared" si="1"/>
        <v>0</v>
      </c>
      <c r="AR10" s="21">
        <f t="shared" si="1"/>
        <v>0</v>
      </c>
      <c r="AS10" s="21">
        <f t="shared" si="1"/>
        <v>0</v>
      </c>
      <c r="AT10" s="22">
        <f t="shared" si="1"/>
        <v>0</v>
      </c>
      <c r="AU10" s="32">
        <f t="shared" si="2"/>
        <v>0.25754247590988982</v>
      </c>
      <c r="AV10" s="13">
        <f t="shared" si="2"/>
        <v>0</v>
      </c>
      <c r="AW10" s="13">
        <f t="shared" si="2"/>
        <v>0.46438561897747244</v>
      </c>
      <c r="AX10" s="13">
        <f t="shared" si="2"/>
        <v>0</v>
      </c>
      <c r="AY10" s="13">
        <f t="shared" si="2"/>
        <v>0</v>
      </c>
      <c r="AZ10" s="13">
        <f t="shared" si="2"/>
        <v>0</v>
      </c>
      <c r="BA10" s="13">
        <f t="shared" si="2"/>
        <v>0</v>
      </c>
      <c r="BB10" s="13">
        <f t="shared" si="2"/>
        <v>0</v>
      </c>
      <c r="BC10" s="33">
        <f t="shared" si="2"/>
        <v>0</v>
      </c>
      <c r="BD10" s="32">
        <f t="shared" si="8"/>
        <v>0.72192809488736231</v>
      </c>
      <c r="BE10" s="14">
        <f t="shared" si="9"/>
        <v>0</v>
      </c>
      <c r="BF10" s="39">
        <f t="shared" si="10"/>
        <v>0.72192809488736231</v>
      </c>
      <c r="BG10" s="41">
        <f t="shared" si="11"/>
        <v>1.6493848884661177</v>
      </c>
      <c r="BH10" s="39" t="e">
        <f t="shared" si="3"/>
        <v>#DIV/0!</v>
      </c>
      <c r="BI10" s="43">
        <f t="shared" si="12"/>
        <v>0.82462112512353214</v>
      </c>
      <c r="BJ10" s="43" t="e">
        <f t="shared" si="13"/>
        <v>#DIV/0!</v>
      </c>
      <c r="BK10" s="56" t="e">
        <f t="shared" si="14"/>
        <v>#DIV/0!</v>
      </c>
      <c r="BL10" s="73"/>
      <c r="BM10" s="73"/>
      <c r="BN10" s="74"/>
    </row>
    <row r="11" spans="1:66" ht="20" customHeight="1" x14ac:dyDescent="0.2">
      <c r="A11" s="7" t="s">
        <v>11</v>
      </c>
      <c r="B11" s="4">
        <v>9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X11" s="55"/>
      <c r="Y11" s="55"/>
      <c r="Z11">
        <f t="shared" si="4"/>
        <v>9</v>
      </c>
      <c r="AA11" s="6">
        <f t="shared" si="5"/>
        <v>0</v>
      </c>
      <c r="AB11" s="8">
        <f t="shared" si="6"/>
        <v>0</v>
      </c>
      <c r="AC11" s="26">
        <f t="shared" si="7"/>
        <v>10</v>
      </c>
      <c r="AD11" s="27">
        <f t="shared" si="0"/>
        <v>0</v>
      </c>
      <c r="AE11" s="27">
        <f t="shared" si="0"/>
        <v>0</v>
      </c>
      <c r="AF11" s="27">
        <f t="shared" si="0"/>
        <v>0</v>
      </c>
      <c r="AG11" s="27">
        <f t="shared" si="0"/>
        <v>0</v>
      </c>
      <c r="AH11" s="27">
        <f t="shared" si="0"/>
        <v>0</v>
      </c>
      <c r="AI11" s="27">
        <f t="shared" si="0"/>
        <v>0</v>
      </c>
      <c r="AJ11" s="27">
        <f t="shared" si="0"/>
        <v>0</v>
      </c>
      <c r="AK11" s="28">
        <f t="shared" si="0"/>
        <v>0</v>
      </c>
      <c r="AL11" s="20">
        <f t="shared" si="1"/>
        <v>1</v>
      </c>
      <c r="AM11" s="21">
        <f t="shared" si="1"/>
        <v>0</v>
      </c>
      <c r="AN11" s="21">
        <f t="shared" si="1"/>
        <v>0</v>
      </c>
      <c r="AO11" s="21">
        <f t="shared" si="1"/>
        <v>0</v>
      </c>
      <c r="AP11" s="21">
        <f t="shared" si="1"/>
        <v>0</v>
      </c>
      <c r="AQ11" s="21">
        <f t="shared" si="1"/>
        <v>0</v>
      </c>
      <c r="AR11" s="21">
        <f t="shared" si="1"/>
        <v>0</v>
      </c>
      <c r="AS11" s="21">
        <f t="shared" si="1"/>
        <v>0</v>
      </c>
      <c r="AT11" s="22">
        <f t="shared" si="1"/>
        <v>0</v>
      </c>
      <c r="AU11" s="32">
        <f t="shared" si="2"/>
        <v>0</v>
      </c>
      <c r="AV11" s="13">
        <f t="shared" si="2"/>
        <v>0</v>
      </c>
      <c r="AW11" s="13">
        <f t="shared" si="2"/>
        <v>0</v>
      </c>
      <c r="AX11" s="13">
        <f t="shared" si="2"/>
        <v>0</v>
      </c>
      <c r="AY11" s="13">
        <f t="shared" si="2"/>
        <v>0</v>
      </c>
      <c r="AZ11" s="13">
        <f t="shared" si="2"/>
        <v>0</v>
      </c>
      <c r="BA11" s="13">
        <f t="shared" si="2"/>
        <v>0</v>
      </c>
      <c r="BB11" s="13">
        <f t="shared" si="2"/>
        <v>0</v>
      </c>
      <c r="BC11" s="33">
        <f t="shared" si="2"/>
        <v>0</v>
      </c>
      <c r="BD11" s="32">
        <f t="shared" si="8"/>
        <v>0</v>
      </c>
      <c r="BE11" s="14">
        <f t="shared" si="9"/>
        <v>0</v>
      </c>
      <c r="BF11" s="39">
        <f t="shared" si="10"/>
        <v>0</v>
      </c>
      <c r="BG11" s="41">
        <f t="shared" si="11"/>
        <v>1</v>
      </c>
      <c r="BH11" s="39" t="e">
        <f t="shared" si="3"/>
        <v>#DIV/0!</v>
      </c>
      <c r="BI11" s="43">
        <f t="shared" si="12"/>
        <v>1</v>
      </c>
      <c r="BJ11" s="43" t="e">
        <f t="shared" si="13"/>
        <v>#DIV/0!</v>
      </c>
      <c r="BK11" s="56" t="e">
        <f t="shared" si="14"/>
        <v>#DIV/0!</v>
      </c>
      <c r="BL11" s="73"/>
      <c r="BM11" s="73"/>
      <c r="BN11" s="74"/>
    </row>
    <row r="12" spans="1:66" ht="20" customHeight="1" thickBot="1" x14ac:dyDescent="0.25">
      <c r="A12" s="7" t="s">
        <v>11</v>
      </c>
      <c r="B12" s="4">
        <v>10</v>
      </c>
      <c r="C12" s="11" t="s">
        <v>0</v>
      </c>
      <c r="D12" s="11" t="s">
        <v>0</v>
      </c>
      <c r="E12" s="11" t="s">
        <v>0</v>
      </c>
      <c r="F12" s="11" t="s">
        <v>0</v>
      </c>
      <c r="G12" s="11" t="s">
        <v>0</v>
      </c>
      <c r="H12" s="11" t="s">
        <v>0</v>
      </c>
      <c r="I12" s="11" t="s">
        <v>0</v>
      </c>
      <c r="J12" s="11" t="s">
        <v>0</v>
      </c>
      <c r="K12" s="11" t="s">
        <v>0</v>
      </c>
      <c r="L12" s="11" t="s">
        <v>0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X12" s="55"/>
      <c r="Y12" s="55"/>
      <c r="Z12">
        <f t="shared" si="4"/>
        <v>10</v>
      </c>
      <c r="AA12" s="6">
        <f t="shared" si="5"/>
        <v>0</v>
      </c>
      <c r="AB12" s="8">
        <f t="shared" si="6"/>
        <v>0</v>
      </c>
      <c r="AC12" s="29">
        <f t="shared" si="7"/>
        <v>10</v>
      </c>
      <c r="AD12" s="30">
        <f t="shared" si="0"/>
        <v>0</v>
      </c>
      <c r="AE12" s="30">
        <f t="shared" si="0"/>
        <v>0</v>
      </c>
      <c r="AF12" s="30">
        <f t="shared" si="0"/>
        <v>0</v>
      </c>
      <c r="AG12" s="30">
        <f t="shared" si="0"/>
        <v>0</v>
      </c>
      <c r="AH12" s="30">
        <f t="shared" si="0"/>
        <v>0</v>
      </c>
      <c r="AI12" s="30">
        <f t="shared" si="0"/>
        <v>0</v>
      </c>
      <c r="AJ12" s="30">
        <f t="shared" si="0"/>
        <v>0</v>
      </c>
      <c r="AK12" s="31">
        <f t="shared" si="0"/>
        <v>0</v>
      </c>
      <c r="AL12" s="23">
        <f t="shared" si="1"/>
        <v>1</v>
      </c>
      <c r="AM12" s="24">
        <f t="shared" si="1"/>
        <v>0</v>
      </c>
      <c r="AN12" s="24">
        <f t="shared" si="1"/>
        <v>0</v>
      </c>
      <c r="AO12" s="24">
        <f t="shared" si="1"/>
        <v>0</v>
      </c>
      <c r="AP12" s="24">
        <f t="shared" si="1"/>
        <v>0</v>
      </c>
      <c r="AQ12" s="24">
        <f t="shared" si="1"/>
        <v>0</v>
      </c>
      <c r="AR12" s="24">
        <f t="shared" si="1"/>
        <v>0</v>
      </c>
      <c r="AS12" s="24">
        <f t="shared" si="1"/>
        <v>0</v>
      </c>
      <c r="AT12" s="25">
        <f t="shared" si="1"/>
        <v>0</v>
      </c>
      <c r="AU12" s="34">
        <f t="shared" si="2"/>
        <v>0</v>
      </c>
      <c r="AV12" s="35">
        <f t="shared" si="2"/>
        <v>0</v>
      </c>
      <c r="AW12" s="35">
        <f t="shared" si="2"/>
        <v>0</v>
      </c>
      <c r="AX12" s="35">
        <f t="shared" si="2"/>
        <v>0</v>
      </c>
      <c r="AY12" s="35">
        <f t="shared" si="2"/>
        <v>0</v>
      </c>
      <c r="AZ12" s="35">
        <f t="shared" si="2"/>
        <v>0</v>
      </c>
      <c r="BA12" s="35">
        <f t="shared" si="2"/>
        <v>0</v>
      </c>
      <c r="BB12" s="35">
        <f t="shared" si="2"/>
        <v>0</v>
      </c>
      <c r="BC12" s="36">
        <f t="shared" si="2"/>
        <v>0</v>
      </c>
      <c r="BD12" s="34">
        <f t="shared" si="8"/>
        <v>0</v>
      </c>
      <c r="BE12" s="15">
        <f t="shared" si="9"/>
        <v>0</v>
      </c>
      <c r="BF12" s="40">
        <f t="shared" si="10"/>
        <v>0</v>
      </c>
      <c r="BG12" s="42">
        <f t="shared" si="11"/>
        <v>1</v>
      </c>
      <c r="BH12" s="40" t="e">
        <f t="shared" si="3"/>
        <v>#DIV/0!</v>
      </c>
      <c r="BI12" s="43">
        <f t="shared" si="12"/>
        <v>1</v>
      </c>
      <c r="BJ12" s="43" t="e">
        <f t="shared" si="13"/>
        <v>#DIV/0!</v>
      </c>
      <c r="BK12" s="56" t="e">
        <f t="shared" si="14"/>
        <v>#DIV/0!</v>
      </c>
      <c r="BL12" s="73"/>
      <c r="BM12" s="73"/>
      <c r="BN12" s="74"/>
    </row>
    <row r="13" spans="1:66" ht="20" customHeight="1" x14ac:dyDescent="0.2">
      <c r="B13" s="4">
        <v>11</v>
      </c>
      <c r="X13" s="55"/>
      <c r="Y13" s="55"/>
      <c r="Z13">
        <f t="shared" si="4"/>
        <v>11</v>
      </c>
    </row>
    <row r="14" spans="1:66" ht="20" customHeight="1" x14ac:dyDescent="0.2">
      <c r="B14" s="4">
        <v>12</v>
      </c>
      <c r="X14" s="55"/>
      <c r="Y14" s="55"/>
      <c r="Z14">
        <f t="shared" si="4"/>
        <v>12</v>
      </c>
    </row>
    <row r="15" spans="1:66" ht="20" customHeight="1" x14ac:dyDescent="0.2">
      <c r="B15" s="4">
        <v>13</v>
      </c>
      <c r="X15" s="55"/>
      <c r="Y15" s="55"/>
      <c r="Z15">
        <f t="shared" si="4"/>
        <v>13</v>
      </c>
    </row>
    <row r="16" spans="1:66" ht="20" customHeight="1" x14ac:dyDescent="0.2">
      <c r="B16" s="4">
        <v>14</v>
      </c>
      <c r="X16" s="55"/>
      <c r="Y16" s="55"/>
      <c r="Z16">
        <f t="shared" si="4"/>
        <v>14</v>
      </c>
    </row>
    <row r="17" spans="2:26" ht="20" customHeight="1" x14ac:dyDescent="0.2">
      <c r="B17" s="4">
        <v>15</v>
      </c>
      <c r="X17" s="55"/>
      <c r="Y17" s="55"/>
      <c r="Z17">
        <f t="shared" si="4"/>
        <v>15</v>
      </c>
    </row>
    <row r="18" spans="2:26" ht="20" customHeight="1" x14ac:dyDescent="0.2">
      <c r="B18" s="4">
        <v>16</v>
      </c>
      <c r="X18" s="55"/>
      <c r="Y18" s="55"/>
      <c r="Z18">
        <f t="shared" si="4"/>
        <v>16</v>
      </c>
    </row>
  </sheetData>
  <mergeCells count="3">
    <mergeCell ref="AC1:AK1"/>
    <mergeCell ref="AL1:AT1"/>
    <mergeCell ref="AU1:BC1"/>
  </mergeCells>
  <conditionalFormatting sqref="C3:V12">
    <cfRule type="cellIs" dxfId="3" priority="1" operator="equal">
      <formula>"NO"</formula>
    </cfRule>
  </conditionalFormatting>
  <conditionalFormatting sqref="AA3:AA12">
    <cfRule type="cellIs" dxfId="2" priority="4" operator="equal">
      <formula>"NO"</formula>
    </cfRule>
  </conditionalFormatting>
  <conditionalFormatting sqref="AU1">
    <cfRule type="cellIs" dxfId="1" priority="2" operator="greaterThan">
      <formula>1</formula>
    </cfRule>
  </conditionalFormatting>
  <conditionalFormatting sqref="AU3:BC1048576 BD13:BE1048576">
    <cfRule type="cellIs" dxfId="0" priority="3" operator="greaterThan">
      <formula>1</formula>
    </cfRule>
  </conditionalFormatting>
  <pageMargins left="0.7" right="0.7" top="0.75" bottom="0.75" header="0.3" footer="0.3"/>
  <pageSetup paperSize="9" scale="75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WORKED EXAMPLE</vt:lpstr>
      <vt:lpstr>YOUR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Jacobus Diener</cp:lastModifiedBy>
  <cp:lastPrinted>2023-01-12T13:39:06Z</cp:lastPrinted>
  <dcterms:created xsi:type="dcterms:W3CDTF">2022-09-02T10:17:35Z</dcterms:created>
  <dcterms:modified xsi:type="dcterms:W3CDTF">2026-10-01T09:13:43Z</dcterms:modified>
</cp:coreProperties>
</file>